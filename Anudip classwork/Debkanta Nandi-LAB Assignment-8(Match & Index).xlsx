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PSPDebkanta\ANUDIP\EXCEL\Excel Lab assignment\"/>
    </mc:Choice>
  </mc:AlternateContent>
  <xr:revisionPtr revIDLastSave="0" documentId="13_ncr:1_{2831E51F-0A63-41CE-B66D-0C83A5D49D34}" xr6:coauthVersionLast="47" xr6:coauthVersionMax="47" xr10:uidLastSave="{00000000-0000-0000-0000-000000000000}"/>
  <bookViews>
    <workbookView xWindow="-108" yWindow="-108" windowWidth="23256" windowHeight="12456" xr2:uid="{9E522357-A3F0-42C4-8711-5E6C2F4C32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8" i="1" l="1"/>
  <c r="B43" i="1"/>
  <c r="C38" i="1"/>
  <c r="G38" i="1" s="1"/>
  <c r="D38" i="1"/>
  <c r="E38" i="1"/>
  <c r="F38" i="1"/>
  <c r="B38" i="1"/>
  <c r="B33" i="1"/>
  <c r="B28" i="1"/>
  <c r="G23" i="1"/>
  <c r="C23" i="1"/>
  <c r="D23" i="1"/>
  <c r="E23" i="1"/>
  <c r="F23" i="1"/>
  <c r="B23" i="1"/>
  <c r="B18" i="1"/>
  <c r="B13" i="1"/>
</calcChain>
</file>

<file path=xl/sharedStrings.xml><?xml version="1.0" encoding="utf-8"?>
<sst xmlns="http://schemas.openxmlformats.org/spreadsheetml/2006/main" count="65" uniqueCount="34">
  <si>
    <t>Worksheet: SalesData</t>
  </si>
  <si>
    <t>ProductID</t>
  </si>
  <si>
    <t>Product</t>
  </si>
  <si>
    <t>Category</t>
  </si>
  <si>
    <t>Electronics</t>
  </si>
  <si>
    <t>Furniture</t>
  </si>
  <si>
    <t>Clothing</t>
  </si>
  <si>
    <t>Jan Sales</t>
  </si>
  <si>
    <t>Feb Sales</t>
  </si>
  <si>
    <t>Mar Sales</t>
  </si>
  <si>
    <t>Apr Sales</t>
  </si>
  <si>
    <t>May Sales</t>
  </si>
  <si>
    <t>Product A</t>
  </si>
  <si>
    <t>Product B</t>
  </si>
  <si>
    <t>Product C</t>
  </si>
  <si>
    <t>Product D</t>
  </si>
  <si>
    <t>Product E</t>
  </si>
  <si>
    <t>Product F</t>
  </si>
  <si>
    <t>1. Use INDEX and MATCH to find the sales for Product C in March.</t>
  </si>
  <si>
    <t xml:space="preserve">Mar Sales </t>
  </si>
  <si>
    <t>2. Use INDEX and MATCH to find the category for Product E.</t>
  </si>
  <si>
    <t>4. Use INDEX and MATCH to find the month with the maximum sales for Product A.</t>
  </si>
  <si>
    <t>3. Use INDEX and MATCH to find the maximum sales for Product B across all months</t>
  </si>
  <si>
    <t>Maximum Sales</t>
  </si>
  <si>
    <t>Max Sales Month</t>
  </si>
  <si>
    <t>5. Use INDEX, MATCH, and SUMIF to sum the sales for all products in the "Electronics" category for April.</t>
  </si>
  <si>
    <t>Total sales in April</t>
  </si>
  <si>
    <t>6. Use INDEX and MATCH to calculate the average sales for Product D across all months</t>
  </si>
  <si>
    <t>Average Sales</t>
  </si>
  <si>
    <t>7. Use INDEX and MATCH to find the sales for Product ID 105 in May</t>
  </si>
  <si>
    <t>8. Use INDEX and MATCH to create a dynamic lookup where the user can input a product and a month, and the formula returns the corresponding sales.</t>
  </si>
  <si>
    <t>Name:- Debkanta Nandi</t>
  </si>
  <si>
    <t xml:space="preserve"> </t>
  </si>
  <si>
    <t>DPBA,ANP-D3870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</si>
</sst>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3" fillId="5" borderId="0" xfId="0" applyFont="1" applyFill="1" applyAlignment="1">
      <alignment horizontal="center"/>
    </xf>
    <xf numFmtId="0" fontId="0" fillId="5" borderId="0" xfId="0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A82D3-0DF4-48DA-A802-2D52A5CD7DAA}">
  <dimension ref="A1:L48"/>
  <sheetViews>
    <sheetView tabSelected="1" workbookViewId="0">
      <selection activeCell="J2" sqref="J2:L3"/>
    </sheetView>
  </sheetViews>
  <sheetFormatPr defaultRowHeight="14.4" x14ac:dyDescent="0.3"/>
  <cols>
    <col min="1" max="1" width="9.88671875" bestFit="1" customWidth="1"/>
    <col min="2" max="2" width="16.109375" bestFit="1" customWidth="1"/>
    <col min="3" max="3" width="9.88671875" bestFit="1" customWidth="1"/>
    <col min="7" max="7" width="14.33203125" bestFit="1" customWidth="1"/>
  </cols>
  <sheetData>
    <row r="1" spans="1:12" x14ac:dyDescent="0.3">
      <c r="A1" s="4" t="s">
        <v>0</v>
      </c>
      <c r="B1" s="4"/>
      <c r="C1" s="4"/>
      <c r="D1" s="4"/>
      <c r="E1" s="4"/>
      <c r="F1" s="4"/>
      <c r="G1" s="4"/>
      <c r="H1" s="4"/>
      <c r="I1" s="4"/>
    </row>
    <row r="2" spans="1:12" ht="15.6" x14ac:dyDescent="0.3">
      <c r="A2" s="2" t="s">
        <v>1</v>
      </c>
      <c r="B2" s="2" t="s">
        <v>2</v>
      </c>
      <c r="C2" s="2" t="s">
        <v>3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J2" s="8" t="s">
        <v>31</v>
      </c>
      <c r="K2" s="8"/>
      <c r="L2" s="8"/>
    </row>
    <row r="3" spans="1:12" x14ac:dyDescent="0.3">
      <c r="A3" s="3">
        <v>101</v>
      </c>
      <c r="B3" s="3" t="s">
        <v>12</v>
      </c>
      <c r="C3" s="3" t="s">
        <v>4</v>
      </c>
      <c r="D3" s="3">
        <v>120</v>
      </c>
      <c r="E3" s="3">
        <v>130</v>
      </c>
      <c r="F3" s="3">
        <v>140</v>
      </c>
      <c r="G3" s="3">
        <v>150</v>
      </c>
      <c r="H3" s="3">
        <v>160</v>
      </c>
      <c r="J3" s="9" t="s">
        <v>32</v>
      </c>
      <c r="K3" s="10" t="s">
        <v>33</v>
      </c>
      <c r="L3" s="10"/>
    </row>
    <row r="4" spans="1:12" x14ac:dyDescent="0.3">
      <c r="A4" s="3">
        <v>102</v>
      </c>
      <c r="B4" s="3" t="s">
        <v>13</v>
      </c>
      <c r="C4" s="3" t="s">
        <v>5</v>
      </c>
      <c r="D4" s="3">
        <v>150</v>
      </c>
      <c r="E4" s="3">
        <v>160</v>
      </c>
      <c r="F4" s="3">
        <v>170</v>
      </c>
      <c r="G4" s="3">
        <v>180</v>
      </c>
      <c r="H4" s="3">
        <v>190</v>
      </c>
    </row>
    <row r="5" spans="1:12" x14ac:dyDescent="0.3">
      <c r="A5" s="3">
        <v>103</v>
      </c>
      <c r="B5" s="3" t="s">
        <v>14</v>
      </c>
      <c r="C5" s="3" t="s">
        <v>4</v>
      </c>
      <c r="D5" s="3">
        <v>200</v>
      </c>
      <c r="E5" s="3">
        <v>210</v>
      </c>
      <c r="F5" s="3">
        <v>220</v>
      </c>
      <c r="G5" s="3">
        <v>230</v>
      </c>
      <c r="H5" s="3">
        <v>240</v>
      </c>
    </row>
    <row r="6" spans="1:12" x14ac:dyDescent="0.3">
      <c r="A6" s="3">
        <v>104</v>
      </c>
      <c r="B6" s="3" t="s">
        <v>15</v>
      </c>
      <c r="C6" s="3" t="s">
        <v>6</v>
      </c>
      <c r="D6" s="3">
        <v>90</v>
      </c>
      <c r="E6" s="3">
        <v>100</v>
      </c>
      <c r="F6" s="3">
        <v>110</v>
      </c>
      <c r="G6" s="3">
        <v>120</v>
      </c>
      <c r="H6" s="3">
        <v>130</v>
      </c>
    </row>
    <row r="7" spans="1:12" x14ac:dyDescent="0.3">
      <c r="A7" s="3">
        <v>105</v>
      </c>
      <c r="B7" s="3" t="s">
        <v>16</v>
      </c>
      <c r="C7" s="3" t="s">
        <v>5</v>
      </c>
      <c r="D7" s="3">
        <v>220</v>
      </c>
      <c r="E7" s="3">
        <v>230</v>
      </c>
      <c r="F7" s="3">
        <v>240</v>
      </c>
      <c r="G7" s="3">
        <v>250</v>
      </c>
      <c r="H7" s="3">
        <v>260</v>
      </c>
    </row>
    <row r="8" spans="1:12" x14ac:dyDescent="0.3">
      <c r="A8" s="3">
        <v>106</v>
      </c>
      <c r="B8" s="3" t="s">
        <v>17</v>
      </c>
      <c r="C8" s="3" t="s">
        <v>4</v>
      </c>
      <c r="D8" s="3">
        <v>130</v>
      </c>
      <c r="E8" s="3">
        <v>140</v>
      </c>
      <c r="F8" s="3">
        <v>150</v>
      </c>
      <c r="G8" s="3">
        <v>160</v>
      </c>
      <c r="H8" s="3">
        <v>170</v>
      </c>
    </row>
    <row r="10" spans="1:12" x14ac:dyDescent="0.3">
      <c r="A10" s="1" t="s">
        <v>18</v>
      </c>
    </row>
    <row r="12" spans="1:12" x14ac:dyDescent="0.3">
      <c r="A12" s="5" t="s">
        <v>2</v>
      </c>
      <c r="B12" s="5" t="s">
        <v>19</v>
      </c>
    </row>
    <row r="13" spans="1:12" x14ac:dyDescent="0.3">
      <c r="A13" s="3" t="s">
        <v>14</v>
      </c>
      <c r="B13" s="3">
        <f>INDEX(F2:F8,MATCH(A13,B2:B8,0),MATCH(A13,B5:H5,0))</f>
        <v>220</v>
      </c>
    </row>
    <row r="15" spans="1:12" x14ac:dyDescent="0.3">
      <c r="A15" s="1" t="s">
        <v>20</v>
      </c>
    </row>
    <row r="17" spans="1:7" x14ac:dyDescent="0.3">
      <c r="A17" s="6" t="s">
        <v>2</v>
      </c>
      <c r="B17" s="6" t="s">
        <v>3</v>
      </c>
    </row>
    <row r="18" spans="1:7" x14ac:dyDescent="0.3">
      <c r="A18" s="3" t="s">
        <v>16</v>
      </c>
      <c r="B18" s="3" t="str">
        <f>INDEX(C2:C8,MATCH(A18,B2:B8,0),MATCH(A18,B7:H7,0))</f>
        <v>Furniture</v>
      </c>
    </row>
    <row r="20" spans="1:7" x14ac:dyDescent="0.3">
      <c r="A20" s="1" t="s">
        <v>22</v>
      </c>
    </row>
    <row r="22" spans="1:7" x14ac:dyDescent="0.3">
      <c r="A22" s="7" t="s">
        <v>2</v>
      </c>
      <c r="B22" s="7" t="s">
        <v>7</v>
      </c>
      <c r="C22" s="7" t="s">
        <v>8</v>
      </c>
      <c r="D22" s="7" t="s">
        <v>9</v>
      </c>
      <c r="E22" s="7" t="s">
        <v>10</v>
      </c>
      <c r="F22" s="7" t="s">
        <v>11</v>
      </c>
      <c r="G22" s="7" t="s">
        <v>23</v>
      </c>
    </row>
    <row r="23" spans="1:7" x14ac:dyDescent="0.3">
      <c r="A23" s="3" t="s">
        <v>13</v>
      </c>
      <c r="B23" s="3">
        <f>INDEX(D$2:D$8,MATCH($A$23,$B$2:$B$8,0),MATCH($A$23,$B$4:$H$4,0))</f>
        <v>150</v>
      </c>
      <c r="C23" s="3">
        <f t="shared" ref="C23:G23" si="0">INDEX(E$2:E$8,MATCH($A$23,$B$2:$B$8,0),MATCH($A$23,$B$4:$H$4,0))</f>
        <v>160</v>
      </c>
      <c r="D23" s="3">
        <f t="shared" si="0"/>
        <v>170</v>
      </c>
      <c r="E23" s="3">
        <f t="shared" si="0"/>
        <v>180</v>
      </c>
      <c r="F23" s="3">
        <f t="shared" si="0"/>
        <v>190</v>
      </c>
      <c r="G23" s="3">
        <f>MAX(B23:F23)</f>
        <v>190</v>
      </c>
    </row>
    <row r="25" spans="1:7" x14ac:dyDescent="0.3">
      <c r="A25" s="1" t="s">
        <v>21</v>
      </c>
    </row>
    <row r="27" spans="1:7" x14ac:dyDescent="0.3">
      <c r="A27" s="5" t="s">
        <v>2</v>
      </c>
      <c r="B27" s="5" t="s">
        <v>24</v>
      </c>
    </row>
    <row r="28" spans="1:7" x14ac:dyDescent="0.3">
      <c r="A28" s="3" t="s">
        <v>12</v>
      </c>
      <c r="B28" s="3" t="str">
        <f>INDEX(D2:H2,MATCH(MAX(D3:H3),D3:H3,0))</f>
        <v>May Sales</v>
      </c>
    </row>
    <row r="30" spans="1:7" x14ac:dyDescent="0.3">
      <c r="A30" s="1" t="s">
        <v>25</v>
      </c>
    </row>
    <row r="32" spans="1:7" x14ac:dyDescent="0.3">
      <c r="A32" s="6" t="s">
        <v>3</v>
      </c>
      <c r="B32" s="6" t="s">
        <v>26</v>
      </c>
    </row>
    <row r="33" spans="1:7" x14ac:dyDescent="0.3">
      <c r="A33" s="3" t="s">
        <v>4</v>
      </c>
      <c r="B33" s="3">
        <f>SUMIF(C3:C8,A33,INDEX(D3:G8,0,MATCH(G2,D2:H2,0)))</f>
        <v>540</v>
      </c>
    </row>
    <row r="35" spans="1:7" x14ac:dyDescent="0.3">
      <c r="A35" s="1" t="s">
        <v>27</v>
      </c>
    </row>
    <row r="37" spans="1:7" x14ac:dyDescent="0.3">
      <c r="A37" s="7" t="s">
        <v>2</v>
      </c>
      <c r="B37" s="7" t="s">
        <v>7</v>
      </c>
      <c r="C37" s="7" t="s">
        <v>8</v>
      </c>
      <c r="D37" s="7" t="s">
        <v>9</v>
      </c>
      <c r="E37" s="7" t="s">
        <v>10</v>
      </c>
      <c r="F37" s="7" t="s">
        <v>11</v>
      </c>
      <c r="G37" s="7" t="s">
        <v>28</v>
      </c>
    </row>
    <row r="38" spans="1:7" x14ac:dyDescent="0.3">
      <c r="A38" s="3" t="s">
        <v>15</v>
      </c>
      <c r="B38" s="3">
        <f>INDEX(D$2:D$8,MATCH($A$38,$B$2:$B$8,0))</f>
        <v>90</v>
      </c>
      <c r="C38" s="3">
        <f t="shared" ref="C38:F38" si="1">INDEX(E$2:E$8,MATCH($A$38,$B$2:$B$8,0))</f>
        <v>100</v>
      </c>
      <c r="D38" s="3">
        <f t="shared" si="1"/>
        <v>110</v>
      </c>
      <c r="E38" s="3">
        <f t="shared" si="1"/>
        <v>120</v>
      </c>
      <c r="F38" s="3">
        <f t="shared" si="1"/>
        <v>130</v>
      </c>
      <c r="G38" s="3">
        <f>AVERAGE(B38:F38)</f>
        <v>110</v>
      </c>
    </row>
    <row r="40" spans="1:7" x14ac:dyDescent="0.3">
      <c r="A40" s="1" t="s">
        <v>29</v>
      </c>
    </row>
    <row r="42" spans="1:7" x14ac:dyDescent="0.3">
      <c r="A42" s="5" t="s">
        <v>1</v>
      </c>
      <c r="B42" s="5" t="s">
        <v>11</v>
      </c>
    </row>
    <row r="43" spans="1:7" x14ac:dyDescent="0.3">
      <c r="A43" s="3">
        <v>105</v>
      </c>
      <c r="B43" s="3">
        <f>INDEX(H2:H8,MATCH(A43,A2:A8,0))</f>
        <v>260</v>
      </c>
    </row>
    <row r="45" spans="1:7" x14ac:dyDescent="0.3">
      <c r="A45" s="1" t="s">
        <v>30</v>
      </c>
    </row>
    <row r="47" spans="1:7" x14ac:dyDescent="0.3">
      <c r="A47" s="6" t="s">
        <v>2</v>
      </c>
      <c r="B47" s="6" t="s">
        <v>8</v>
      </c>
    </row>
    <row r="48" spans="1:7" x14ac:dyDescent="0.3">
      <c r="A48" s="3" t="s">
        <v>13</v>
      </c>
      <c r="B48" s="3">
        <f>INDEX(D2:H8,MATCH(A48,B2:B8,0),MATCH(B47,D2:H2,0))</f>
        <v>160</v>
      </c>
    </row>
  </sheetData>
  <mergeCells count="2">
    <mergeCell ref="A1:I1"/>
    <mergeCell ref="J2:L2"/>
  </mergeCells>
  <phoneticPr fontId="2" type="noConversion"/>
  <dataValidations count="2">
    <dataValidation type="list" allowBlank="1" showInputMessage="1" showErrorMessage="1" sqref="A48" xr:uid="{AD7D5C6E-EF2E-4553-BEAB-DB41023956DD}">
      <formula1>$B$3:$B$8</formula1>
    </dataValidation>
    <dataValidation type="list" allowBlank="1" showInputMessage="1" showErrorMessage="1" sqref="B47" xr:uid="{A1CD2752-6460-444B-8363-2EC9D7FB9432}">
      <formula1>$D$2:$H$2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DEBKANTA NANDI</dc:creator>
  <cp:lastModifiedBy>DEBKANTA NANDI</cp:lastModifiedBy>
  <dcterms:created xsi:type="dcterms:W3CDTF">2026-03-12T06:10:01Z</dcterms:created>
  <dcterms:modified xsi:type="dcterms:W3CDTF">2026-03-17T21:12:49Z</dcterms:modified>
</cp:coreProperties>
</file>