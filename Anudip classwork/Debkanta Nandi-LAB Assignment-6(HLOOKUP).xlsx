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SPDebkanta\ANUDIP\EXCEL\Excel Lab assignment\"/>
    </mc:Choice>
  </mc:AlternateContent>
  <xr:revisionPtr revIDLastSave="0" documentId="13_ncr:1_{6F29D667-7C8C-4BB2-9235-6E9827B6A5D1}" xr6:coauthVersionLast="47" xr6:coauthVersionMax="47" xr10:uidLastSave="{00000000-0000-0000-0000-000000000000}"/>
  <bookViews>
    <workbookView xWindow="-108" yWindow="-108" windowWidth="23256" windowHeight="12456" xr2:uid="{90C67041-E5A6-45EE-8394-C900E0C32DD3}"/>
  </bookViews>
  <sheets>
    <sheet name="H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1" l="1" a="1"/>
  <c r="H49" i="1" s="1"/>
  <c r="H44" i="1" a="1"/>
  <c r="H44" i="1" s="1"/>
  <c r="H39" i="1" a="1"/>
  <c r="H39" i="1"/>
  <c r="D49" i="1"/>
  <c r="E49" i="1"/>
  <c r="F49" i="1"/>
  <c r="G49" i="1"/>
  <c r="C49" i="1"/>
  <c r="D44" i="1"/>
  <c r="E44" i="1"/>
  <c r="F44" i="1"/>
  <c r="G44" i="1"/>
  <c r="C44" i="1"/>
  <c r="D39" i="1"/>
  <c r="E39" i="1"/>
  <c r="F39" i="1"/>
  <c r="G39" i="1"/>
  <c r="C39" i="1"/>
  <c r="D34" i="1"/>
  <c r="E34" i="1"/>
  <c r="F34" i="1"/>
  <c r="G34" i="1"/>
  <c r="C34" i="1"/>
  <c r="D33" i="1"/>
  <c r="E33" i="1"/>
  <c r="F33" i="1"/>
  <c r="G33" i="1"/>
  <c r="C33" i="1"/>
  <c r="D32" i="1"/>
  <c r="E32" i="1"/>
  <c r="F32" i="1"/>
  <c r="G32" i="1"/>
  <c r="C32" i="1"/>
  <c r="H32" i="1" s="1"/>
  <c r="D31" i="1"/>
  <c r="E31" i="1"/>
  <c r="F31" i="1"/>
  <c r="G31" i="1"/>
  <c r="C31" i="1"/>
  <c r="D30" i="1"/>
  <c r="E30" i="1"/>
  <c r="F30" i="1"/>
  <c r="G30" i="1"/>
  <c r="C30" i="1"/>
  <c r="C29" i="1"/>
  <c r="D29" i="1"/>
  <c r="E29" i="1"/>
  <c r="F29" i="1"/>
  <c r="G29" i="1"/>
  <c r="B24" i="1"/>
  <c r="B19" i="1"/>
  <c r="B14" i="1"/>
  <c r="H31" i="1" l="1"/>
  <c r="H29" i="1"/>
  <c r="H33" i="1"/>
  <c r="H30" i="1"/>
  <c r="H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<sst xmlns="http://schemas.openxmlformats.org/spreadsheetml/2006/main" count="61" uniqueCount="26">
  <si>
    <t>Worksheet: SalesData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</si>
  <si>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</si>
  <si>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</si>
  <si>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</si>
  <si>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</si>
  <si>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</si>
  <si>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</si>
  <si>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</si>
  <si>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</si>
  <si>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</si>
  <si>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</si>
  <si>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</si>
  <si>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1. Use HLOOKUP to find the sales for Product A in March.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</si>
  <si>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</si>
  <si>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</si>
  <si>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</t>
  </si>
  <si>
    <t>Total</t>
  </si>
  <si>
    <t>5. Use HLOOKUP to find the maximum sales value for Product B across all months.</t>
  </si>
  <si>
    <t>6. Use HLOOKUP to find the minimum sales value for Product F across all months.</t>
  </si>
  <si>
    <t>Maximum Sales</t>
  </si>
  <si>
    <t>Minimum Sales</t>
  </si>
  <si>
    <t>7. Use HLOOKUP to find the average sales value for Product E across all months.</t>
  </si>
  <si>
    <t>Average</t>
  </si>
  <si>
    <t>Name:- Debkanta Nandi</t>
  </si>
  <si>
    <t xml:space="preserve"> </t>
  </si>
  <si>
    <t>DPBA,ANP-D3870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</si>
</sst>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/>
    <xf numFmtId="0" fontId="0" fillId="6" borderId="0" xfId="0" applyFill="1"/>
    <xf numFmtId="0" fontId="1" fillId="6" borderId="0" xfId="0" applyFont="1" applyFill="1"/>
    <xf numFmtId="0" fontId="1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354E-6397-460A-A14C-3A1EF7EB5AB0}">
  <dimension ref="A1:L49"/>
  <sheetViews>
    <sheetView tabSelected="1" topLeftCell="A10" workbookViewId="0">
      <selection activeCell="L50" sqref="L50"/>
    </sheetView>
  </sheetViews>
  <sheetFormatPr defaultRowHeight="14.4" x14ac:dyDescent="0.3"/>
  <cols>
    <col min="8" max="8" width="14.33203125" bestFit="1" customWidth="1"/>
  </cols>
  <sheetData>
    <row r="1" spans="1:11" x14ac:dyDescent="0.3">
      <c r="A1" s="11" t="s">
        <v>0</v>
      </c>
      <c r="B1" s="11"/>
      <c r="C1" s="11"/>
      <c r="D1" s="11"/>
      <c r="E1" s="11"/>
    </row>
    <row r="3" spans="1:11" ht="15.6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I3" s="12" t="s">
        <v>23</v>
      </c>
      <c r="J3" s="12"/>
      <c r="K3" s="12"/>
    </row>
    <row r="4" spans="1:11" x14ac:dyDescent="0.3">
      <c r="A4" s="2" t="s">
        <v>6</v>
      </c>
      <c r="B4" s="2">
        <v>120</v>
      </c>
      <c r="C4" s="2">
        <v>130</v>
      </c>
      <c r="D4" s="2">
        <v>140</v>
      </c>
      <c r="E4" s="2">
        <v>150</v>
      </c>
      <c r="F4" s="2">
        <v>160</v>
      </c>
      <c r="I4" s="9" t="s">
        <v>24</v>
      </c>
      <c r="J4" s="10" t="s">
        <v>25</v>
      </c>
      <c r="K4" s="10"/>
    </row>
    <row r="5" spans="1:11" x14ac:dyDescent="0.3">
      <c r="A5" s="2" t="s">
        <v>7</v>
      </c>
      <c r="B5" s="2">
        <v>150</v>
      </c>
      <c r="C5" s="2">
        <v>160</v>
      </c>
      <c r="D5" s="2">
        <v>170</v>
      </c>
      <c r="E5" s="2">
        <v>180</v>
      </c>
      <c r="F5" s="2">
        <v>190</v>
      </c>
    </row>
    <row r="6" spans="1:11" x14ac:dyDescent="0.3">
      <c r="A6" s="2" t="s">
        <v>8</v>
      </c>
      <c r="B6" s="2">
        <v>200</v>
      </c>
      <c r="C6" s="2">
        <v>210</v>
      </c>
      <c r="D6" s="2">
        <v>220</v>
      </c>
      <c r="E6" s="2">
        <v>230</v>
      </c>
      <c r="F6" s="2">
        <v>240</v>
      </c>
    </row>
    <row r="7" spans="1:11" x14ac:dyDescent="0.3">
      <c r="A7" s="2" t="s">
        <v>9</v>
      </c>
      <c r="B7" s="2">
        <v>90</v>
      </c>
      <c r="C7" s="2">
        <v>100</v>
      </c>
      <c r="D7" s="2">
        <v>110</v>
      </c>
      <c r="E7" s="2">
        <v>120</v>
      </c>
      <c r="F7" s="2">
        <v>130</v>
      </c>
    </row>
    <row r="8" spans="1:11" x14ac:dyDescent="0.3">
      <c r="A8" s="2" t="s">
        <v>10</v>
      </c>
      <c r="B8" s="2">
        <v>220</v>
      </c>
      <c r="C8" s="2">
        <v>230</v>
      </c>
      <c r="D8" s="2">
        <v>240</v>
      </c>
      <c r="E8" s="2">
        <v>250</v>
      </c>
      <c r="F8" s="2">
        <v>260</v>
      </c>
    </row>
    <row r="9" spans="1:11" x14ac:dyDescent="0.3">
      <c r="A9" s="2" t="s">
        <v>11</v>
      </c>
      <c r="B9" s="2">
        <v>130</v>
      </c>
      <c r="C9" s="2">
        <v>140</v>
      </c>
      <c r="D9" s="2">
        <v>150</v>
      </c>
      <c r="E9" s="2">
        <v>160</v>
      </c>
      <c r="F9" s="2">
        <v>170</v>
      </c>
    </row>
    <row r="11" spans="1:11" x14ac:dyDescent="0.3">
      <c r="A11" s="1" t="s">
        <v>12</v>
      </c>
      <c r="B11" s="1"/>
      <c r="C11" s="1"/>
      <c r="D11" s="1"/>
      <c r="E11" s="1"/>
      <c r="F11" s="1"/>
    </row>
    <row r="13" spans="1:11" x14ac:dyDescent="0.3">
      <c r="A13" s="3"/>
      <c r="B13" s="2" t="s">
        <v>3</v>
      </c>
    </row>
    <row r="14" spans="1:11" x14ac:dyDescent="0.3">
      <c r="A14" s="2" t="s">
        <v>6</v>
      </c>
      <c r="B14" s="4">
        <f>HLOOKUP(B13,$A$3:$F$9,2,FALSE)</f>
        <v>140</v>
      </c>
    </row>
    <row r="16" spans="1:11" x14ac:dyDescent="0.3">
      <c r="A16" s="1" t="s">
        <v>13</v>
      </c>
      <c r="B16" s="1"/>
      <c r="C16" s="1"/>
      <c r="D16" s="1"/>
      <c r="E16" s="1"/>
    </row>
    <row r="18" spans="1:12" x14ac:dyDescent="0.3">
      <c r="A18" s="3"/>
      <c r="B18" s="2" t="s">
        <v>5</v>
      </c>
    </row>
    <row r="19" spans="1:12" x14ac:dyDescent="0.3">
      <c r="A19" s="2" t="s">
        <v>9</v>
      </c>
      <c r="B19" s="8">
        <f>HLOOKUP(B18,$A$3:$F$9,5,FALSE)</f>
        <v>130</v>
      </c>
    </row>
    <row r="21" spans="1:12" x14ac:dyDescent="0.3">
      <c r="A21" s="1" t="s">
        <v>14</v>
      </c>
      <c r="B21" s="1"/>
      <c r="C21" s="1"/>
      <c r="D21" s="1"/>
      <c r="E21" s="1"/>
      <c r="F21" s="1"/>
    </row>
    <row r="23" spans="1:12" x14ac:dyDescent="0.3">
      <c r="A23" s="3"/>
      <c r="B23" s="2" t="s">
        <v>2</v>
      </c>
    </row>
    <row r="24" spans="1:12" x14ac:dyDescent="0.3">
      <c r="A24" s="2" t="s">
        <v>8</v>
      </c>
      <c r="B24" s="6">
        <f>HLOOKUP(B23,$A$3:$F$9,4,FALSE)</f>
        <v>210</v>
      </c>
    </row>
    <row r="26" spans="1:12" x14ac:dyDescent="0.3">
      <c r="A26" s="1" t="s">
        <v>15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8" spans="1:12" x14ac:dyDescent="0.3">
      <c r="C28" s="5" t="s">
        <v>1</v>
      </c>
      <c r="D28" s="5" t="s">
        <v>2</v>
      </c>
      <c r="E28" s="5" t="s">
        <v>3</v>
      </c>
      <c r="F28" s="5" t="s">
        <v>4</v>
      </c>
      <c r="G28" s="5" t="s">
        <v>5</v>
      </c>
      <c r="H28" s="5" t="s">
        <v>16</v>
      </c>
    </row>
    <row r="29" spans="1:12" x14ac:dyDescent="0.3">
      <c r="B29" s="5" t="s">
        <v>6</v>
      </c>
      <c r="C29" s="7">
        <f>HLOOKUP(C$28,$A$3:$F$9,2,FALSE)</f>
        <v>120</v>
      </c>
      <c r="D29" s="7">
        <f t="shared" ref="D29:G29" si="0">HLOOKUP(D28,$A$3:$F$9,2,FALSE)</f>
        <v>130</v>
      </c>
      <c r="E29" s="7">
        <f t="shared" si="0"/>
        <v>140</v>
      </c>
      <c r="F29" s="7">
        <f t="shared" si="0"/>
        <v>150</v>
      </c>
      <c r="G29" s="7">
        <f t="shared" si="0"/>
        <v>160</v>
      </c>
      <c r="H29" s="5">
        <f>SUM(C29:G29)</f>
        <v>700</v>
      </c>
    </row>
    <row r="30" spans="1:12" x14ac:dyDescent="0.3">
      <c r="B30" s="5" t="s">
        <v>7</v>
      </c>
      <c r="C30" s="7">
        <f>HLOOKUP(C$28,$A$3:$F$9,3,FALSE)</f>
        <v>150</v>
      </c>
      <c r="D30" s="7">
        <f>HLOOKUP(D$28,$A$3:$F$9,3,FALSE)</f>
        <v>160</v>
      </c>
      <c r="E30" s="7">
        <f>HLOOKUP(E$28,$A$3:$F$9,3,FALSE)</f>
        <v>170</v>
      </c>
      <c r="F30" s="7">
        <f>HLOOKUP(F$28,$A$3:$F$9,3,FALSE)</f>
        <v>180</v>
      </c>
      <c r="G30" s="7">
        <f>HLOOKUP(G$28,$A$3:$F$9,3,FALSE)</f>
        <v>190</v>
      </c>
      <c r="H30" s="5">
        <f t="shared" ref="H30:H34" si="1">SUM(C30:G30)</f>
        <v>850</v>
      </c>
      <c r="L30" s="1"/>
    </row>
    <row r="31" spans="1:12" x14ac:dyDescent="0.3">
      <c r="B31" s="5" t="s">
        <v>8</v>
      </c>
      <c r="C31" s="7">
        <f>HLOOKUP(C$28,$A$3:$F$9,4,FALSE)</f>
        <v>200</v>
      </c>
      <c r="D31" s="7">
        <f>HLOOKUP(D$28,$A$3:$F$9,4,FALSE)</f>
        <v>210</v>
      </c>
      <c r="E31" s="7">
        <f>HLOOKUP(E$28,$A$3:$F$9,4,FALSE)</f>
        <v>220</v>
      </c>
      <c r="F31" s="7">
        <f>HLOOKUP(F$28,$A$3:$F$9,4,FALSE)</f>
        <v>230</v>
      </c>
      <c r="G31" s="7">
        <f>HLOOKUP(G$28,$A$3:$F$9,4,FALSE)</f>
        <v>240</v>
      </c>
      <c r="H31" s="5">
        <f t="shared" si="1"/>
        <v>1100</v>
      </c>
    </row>
    <row r="32" spans="1:12" x14ac:dyDescent="0.3">
      <c r="B32" s="5" t="s">
        <v>9</v>
      </c>
      <c r="C32" s="7">
        <f>HLOOKUP(C$28,$A$3:$F$9,5,FALSE)</f>
        <v>90</v>
      </c>
      <c r="D32" s="7">
        <f>HLOOKUP(D$28,$A$3:$F$9,5,FALSE)</f>
        <v>100</v>
      </c>
      <c r="E32" s="7">
        <f>HLOOKUP(E$28,$A$3:$F$9,5,FALSE)</f>
        <v>110</v>
      </c>
      <c r="F32" s="7">
        <f>HLOOKUP(F$28,$A$3:$F$9,5,FALSE)</f>
        <v>120</v>
      </c>
      <c r="G32" s="7">
        <f>HLOOKUP(G$28,$A$3:$F$9,5,FALSE)</f>
        <v>130</v>
      </c>
      <c r="H32" s="5">
        <f t="shared" si="1"/>
        <v>550</v>
      </c>
    </row>
    <row r="33" spans="1:8" x14ac:dyDescent="0.3">
      <c r="B33" s="5" t="s">
        <v>10</v>
      </c>
      <c r="C33" s="7">
        <f>HLOOKUP(C$28,$A$3:$F$9,6,FALSE)</f>
        <v>220</v>
      </c>
      <c r="D33" s="7">
        <f>HLOOKUP(D$28,$A$3:$F$9,6,FALSE)</f>
        <v>230</v>
      </c>
      <c r="E33" s="7">
        <f>HLOOKUP(E$28,$A$3:$F$9,6,FALSE)</f>
        <v>240</v>
      </c>
      <c r="F33" s="7">
        <f>HLOOKUP(F$28,$A$3:$F$9,6,FALSE)</f>
        <v>250</v>
      </c>
      <c r="G33" s="7">
        <f>HLOOKUP(G$28,$A$3:$F$9,6,FALSE)</f>
        <v>260</v>
      </c>
      <c r="H33" s="5">
        <f t="shared" si="1"/>
        <v>1200</v>
      </c>
    </row>
    <row r="34" spans="1:8" x14ac:dyDescent="0.3">
      <c r="B34" s="5" t="s">
        <v>11</v>
      </c>
      <c r="C34" s="7">
        <f>HLOOKUP(C$28,$A$3:$F$9,7,FALSE)</f>
        <v>130</v>
      </c>
      <c r="D34" s="7">
        <f>HLOOKUP(D$28,$A$3:$F$9,7,FALSE)</f>
        <v>140</v>
      </c>
      <c r="E34" s="7">
        <f>HLOOKUP(E$28,$A$3:$F$9,7,FALSE)</f>
        <v>150</v>
      </c>
      <c r="F34" s="7">
        <f>HLOOKUP(F$28,$A$3:$F$9,7,FALSE)</f>
        <v>160</v>
      </c>
      <c r="G34" s="7">
        <f>HLOOKUP(G$28,$A$3:$F$9,7,FALSE)</f>
        <v>170</v>
      </c>
      <c r="H34" s="5">
        <f t="shared" si="1"/>
        <v>750</v>
      </c>
    </row>
    <row r="36" spans="1:8" x14ac:dyDescent="0.3">
      <c r="A36" s="1" t="s">
        <v>17</v>
      </c>
    </row>
    <row r="38" spans="1:8" x14ac:dyDescent="0.3">
      <c r="C38" s="2" t="s">
        <v>1</v>
      </c>
      <c r="D38" s="2" t="s">
        <v>2</v>
      </c>
      <c r="E38" s="2" t="s">
        <v>3</v>
      </c>
      <c r="F38" s="2" t="s">
        <v>4</v>
      </c>
      <c r="G38" s="2" t="s">
        <v>5</v>
      </c>
      <c r="H38" s="4" t="s">
        <v>19</v>
      </c>
    </row>
    <row r="39" spans="1:8" x14ac:dyDescent="0.3">
      <c r="B39" s="2" t="s">
        <v>7</v>
      </c>
      <c r="C39" s="3">
        <f>HLOOKUP(C$38,$A$3:$F$9,3,FALSE)</f>
        <v>150</v>
      </c>
      <c r="D39" s="3">
        <f t="shared" ref="D39:G39" si="2">HLOOKUP(D$38,$A$3:$F$9,3,FALSE)</f>
        <v>160</v>
      </c>
      <c r="E39" s="3">
        <f t="shared" si="2"/>
        <v>170</v>
      </c>
      <c r="F39" s="3">
        <f t="shared" si="2"/>
        <v>180</v>
      </c>
      <c r="G39" s="3">
        <f t="shared" si="2"/>
        <v>190</v>
      </c>
      <c r="H39" s="4" cm="1">
        <f t="array" ref="H39">MAX(HLOOKUP(C38:G38,B38:G39,2,FALSE))</f>
        <v>190</v>
      </c>
    </row>
    <row r="41" spans="1:8" x14ac:dyDescent="0.3">
      <c r="A41" s="1" t="s">
        <v>18</v>
      </c>
    </row>
    <row r="43" spans="1:8" x14ac:dyDescent="0.3">
      <c r="C43" s="2" t="s">
        <v>1</v>
      </c>
      <c r="D43" s="2" t="s">
        <v>2</v>
      </c>
      <c r="E43" s="2" t="s">
        <v>3</v>
      </c>
      <c r="F43" s="2" t="s">
        <v>4</v>
      </c>
      <c r="G43" s="2" t="s">
        <v>5</v>
      </c>
      <c r="H43" s="5" t="s">
        <v>20</v>
      </c>
    </row>
    <row r="44" spans="1:8" x14ac:dyDescent="0.3">
      <c r="B44" s="2" t="s">
        <v>11</v>
      </c>
      <c r="C44" s="3">
        <f>HLOOKUP(C$43,$A$3:$F$9,7,FALSE)</f>
        <v>130</v>
      </c>
      <c r="D44" s="3">
        <f t="shared" ref="D44:G44" si="3">HLOOKUP(D$43,$A$3:$F$9,7,FALSE)</f>
        <v>140</v>
      </c>
      <c r="E44" s="3">
        <f t="shared" si="3"/>
        <v>150</v>
      </c>
      <c r="F44" s="3">
        <f t="shared" si="3"/>
        <v>160</v>
      </c>
      <c r="G44" s="3">
        <f t="shared" si="3"/>
        <v>170</v>
      </c>
      <c r="H44" s="7" cm="1">
        <f t="array" ref="H44">MIN(HLOOKUP(C43:G43,B43:G44,2,FALSE))</f>
        <v>130</v>
      </c>
    </row>
    <row r="46" spans="1:8" x14ac:dyDescent="0.3">
      <c r="A46" s="1" t="s">
        <v>21</v>
      </c>
    </row>
    <row r="48" spans="1:8" x14ac:dyDescent="0.3">
      <c r="C48" s="2" t="s">
        <v>1</v>
      </c>
      <c r="D48" s="2" t="s">
        <v>2</v>
      </c>
      <c r="E48" s="2" t="s">
        <v>3</v>
      </c>
      <c r="F48" s="2" t="s">
        <v>4</v>
      </c>
      <c r="G48" s="2" t="s">
        <v>5</v>
      </c>
      <c r="H48" s="6" t="s">
        <v>22</v>
      </c>
    </row>
    <row r="49" spans="2:8" x14ac:dyDescent="0.3">
      <c r="B49" s="2" t="s">
        <v>10</v>
      </c>
      <c r="C49" s="3">
        <f>HLOOKUP(C$48,$A$3:$F$9,6,FALSE)</f>
        <v>220</v>
      </c>
      <c r="D49" s="3">
        <f t="shared" ref="D49:G49" si="4">HLOOKUP(D$48,$A$3:$F$9,6,FALSE)</f>
        <v>230</v>
      </c>
      <c r="E49" s="3">
        <f t="shared" si="4"/>
        <v>240</v>
      </c>
      <c r="F49" s="3">
        <f t="shared" si="4"/>
        <v>250</v>
      </c>
      <c r="G49" s="3">
        <f t="shared" si="4"/>
        <v>260</v>
      </c>
      <c r="H49" s="6" cm="1">
        <f t="array" ref="H49">AVERAGE(HLOOKUP(C48:G48,B48:G49,2,FALSE))</f>
        <v>240</v>
      </c>
    </row>
  </sheetData>
  <mergeCells count="2">
    <mergeCell ref="A1:E1"/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DEBKANTA NANDI</dc:creator>
  <cp:lastModifiedBy>DEBKANTA NANDI</cp:lastModifiedBy>
  <dcterms:created xsi:type="dcterms:W3CDTF">2026-03-10T06:42:00Z</dcterms:created>
  <dcterms:modified xsi:type="dcterms:W3CDTF">2026-03-10T12:25:03Z</dcterms:modified>
</cp:coreProperties>
</file>