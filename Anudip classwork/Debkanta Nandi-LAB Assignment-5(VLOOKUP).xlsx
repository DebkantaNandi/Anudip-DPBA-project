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D:\EPSPDebkanta\ANUDIP\EXCEL\Excel Lab assignment\"/>
    </mc:Choice>
  </mc:AlternateContent>
  <xr:revisionPtr revIDLastSave="0" documentId="13_ncr:1_{E9759E69-59C7-47A6-9A8D-18839B3490B1}" xr6:coauthVersionLast="47" xr6:coauthVersionMax="47" xr10:uidLastSave="{00000000-0000-0000-0000-000000000000}"/>
  <bookViews>
    <workbookView xWindow="-108" yWindow="-108" windowWidth="23256" windowHeight="12456" activeTab="1" xr2:uid="{DFCEAA33-238E-42C9-BA7B-CBEB57E101CD}"/>
  </bookViews>
  <sheets>
    <sheet name="Product Sheet -VLOOKUP" sheetId="1" r:id="rId1"/>
    <sheet name="Order Sheet-VLOOKUP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76" i="2" l="1"/>
  <c r="C77" i="2"/>
  <c r="C78" i="2"/>
  <c r="C79" i="2"/>
  <c r="C80" i="2"/>
  <c r="C75" i="2"/>
  <c r="B76" i="2"/>
  <c r="B77" i="2"/>
  <c r="B78" i="2"/>
  <c r="B79" i="2"/>
  <c r="B80" i="2"/>
  <c r="B75" i="2"/>
  <c r="B66" i="2"/>
  <c r="B67" i="2"/>
  <c r="B68" i="2"/>
  <c r="B69" i="2"/>
  <c r="B70" i="2"/>
  <c r="B65" i="2"/>
  <c r="G55" i="2"/>
  <c r="F56" i="2"/>
  <c r="F57" i="2"/>
  <c r="F58" i="2"/>
  <c r="F59" i="2"/>
  <c r="F60" i="2"/>
  <c r="F55" i="2"/>
  <c r="C60" i="2"/>
  <c r="C59" i="2"/>
  <c r="C58" i="2"/>
  <c r="C57" i="2"/>
  <c r="C56" i="2"/>
  <c r="C55" i="2"/>
  <c r="E60" i="2"/>
  <c r="E59" i="2"/>
  <c r="E58" i="2"/>
  <c r="E57" i="2"/>
  <c r="E56" i="2"/>
  <c r="E55" i="2"/>
  <c r="E50" i="2"/>
  <c r="E49" i="2"/>
  <c r="F49" i="2" s="1"/>
  <c r="G49" i="2" s="1"/>
  <c r="E48" i="2"/>
  <c r="F48" i="2" s="1"/>
  <c r="E47" i="2"/>
  <c r="F47" i="2" s="1"/>
  <c r="G47" i="2" s="1"/>
  <c r="E46" i="2"/>
  <c r="E45" i="2"/>
  <c r="D50" i="2"/>
  <c r="D49" i="2"/>
  <c r="D48" i="2"/>
  <c r="D47" i="2"/>
  <c r="D46" i="2"/>
  <c r="D45" i="2"/>
  <c r="D25" i="2"/>
  <c r="D26" i="2"/>
  <c r="D27" i="2"/>
  <c r="D28" i="2"/>
  <c r="D29" i="2"/>
  <c r="D30" i="2"/>
  <c r="C40" i="2"/>
  <c r="C36" i="2"/>
  <c r="C37" i="2"/>
  <c r="C38" i="2"/>
  <c r="C39" i="2"/>
  <c r="C35" i="2"/>
  <c r="G48" i="2" l="1"/>
  <c r="F45" i="2"/>
  <c r="G45" i="2" s="1"/>
  <c r="F50" i="2"/>
  <c r="G50" i="2" s="1"/>
  <c r="F46" i="2"/>
  <c r="G46" i="2" s="1"/>
  <c r="C15" i="2"/>
  <c r="F27" i="2"/>
  <c r="F28" i="2"/>
  <c r="E26" i="2"/>
  <c r="F26" i="2" s="1"/>
  <c r="E27" i="2"/>
  <c r="E28" i="2"/>
  <c r="E29" i="2"/>
  <c r="F29" i="2" s="1"/>
  <c r="E30" i="2"/>
  <c r="F30" i="2" s="1"/>
  <c r="E25" i="2"/>
  <c r="F25" i="2" s="1"/>
  <c r="C16" i="2"/>
  <c r="C17" i="2"/>
  <c r="C18" i="2"/>
  <c r="C19" i="2"/>
  <c r="C20" i="2"/>
</calcChain>
</file>

<file path=xl/sharedStrings.xml><?xml version="1.0" encoding="utf-8"?>
<sst xmlns="http://schemas.openxmlformats.org/spreadsheetml/2006/main" count="61" uniqueCount="33">
  <si>
    <t>Worksheet 1: Products</t>
  </si>
  <si>
    <t>ProductID</t>
  </si>
  <si>
    <t>Product</t>
  </si>
  <si>
    <t>Product A</t>
  </si>
  <si>
    <t>Product B</t>
  </si>
  <si>
    <t>Product C</t>
  </si>
  <si>
    <t>Product D</t>
  </si>
  <si>
    <t>Product E</t>
  </si>
  <si>
    <t>Product F</t>
  </si>
  <si>
    <t>Price</t>
  </si>
  <si>
    <t>Worksheet 2: Orders</t>
  </si>
  <si>
    <t>OrderID</t>
  </si>
  <si>
    <t>Quantity</t>
  </si>
  <si>
    <t>TotalPrice</t>
  </si>
  <si>
    <t>1. Use VLOOKUP to find the product names for each ProductID in the Orders worksheet.</t>
  </si>
  <si>
    <t>Product Name</t>
  </si>
  <si>
    <t>2. Use VLOOKUP to find the price for each ProductID in the Orders worksheet, then calculate the TotalPrice by multiplying the Quantity by the Product Price</t>
  </si>
  <si>
    <t>Total Price</t>
  </si>
  <si>
    <t>3. Use VLOOKUP to check if there are any ProductIDs in the Orders worksheet that do not exist in the Products worksheet</t>
  </si>
  <si>
    <t>Results</t>
  </si>
  <si>
    <t>4. Assume a discount of 10% is given on all products. Use VLOOKUP to find the original price and then calculate the discounted price.</t>
  </si>
  <si>
    <t>Discount(10%)</t>
  </si>
  <si>
    <t>Discounted Price</t>
  </si>
  <si>
    <t>5. Use VLOOKUP to find the price for each ProductID and then calculate the order value. Find the maximum order value from the list.</t>
  </si>
  <si>
    <t>Order Value</t>
  </si>
  <si>
    <t>Maximum Order Value</t>
  </si>
  <si>
    <t>6. Use VLOOKUP to find out which products from the Products worksheet have not been ordered.</t>
  </si>
  <si>
    <t>Result</t>
  </si>
  <si>
    <t>7. Use VLOOKUP to find the Product name and summarize the total quantity sold for each product.</t>
  </si>
  <si>
    <t>Total Quantity Sold</t>
  </si>
  <si>
    <t>Name:- Debkanta Nandi</t>
  </si>
  <si>
    <t xml:space="preserve"> </t>
  </si>
  <si>
    <t>DPBA,ANP-D3870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</si>
</sst>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4" tint="0.79998168889431442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0" borderId="0" xfId="0" applyFont="1"/>
    <xf numFmtId="0" fontId="1" fillId="0" borderId="1" xfId="0" applyFont="1" applyBorder="1"/>
    <xf numFmtId="0" fontId="0" fillId="0" borderId="1" xfId="0" applyBorder="1"/>
    <xf numFmtId="0" fontId="1" fillId="2" borderId="1" xfId="0" applyFont="1" applyFill="1" applyBorder="1"/>
    <xf numFmtId="0" fontId="1" fillId="3" borderId="1" xfId="0" applyFont="1" applyFill="1" applyBorder="1"/>
    <xf numFmtId="0" fontId="1" fillId="4" borderId="1" xfId="0" applyFont="1" applyFill="1" applyBorder="1"/>
    <xf numFmtId="0" fontId="1" fillId="5" borderId="1" xfId="0" applyFont="1" applyFill="1" applyBorder="1"/>
    <xf numFmtId="0" fontId="1" fillId="7" borderId="1" xfId="0" applyFont="1" applyFill="1" applyBorder="1"/>
    <xf numFmtId="0" fontId="1" fillId="3" borderId="1" xfId="0" applyFont="1" applyFill="1" applyBorder="1" applyAlignment="1">
      <alignment horizontal="center"/>
    </xf>
    <xf numFmtId="0" fontId="0" fillId="6" borderId="0" xfId="0" applyFill="1"/>
    <xf numFmtId="0" fontId="1" fillId="6" borderId="0" xfId="0" applyFont="1" applyFill="1"/>
    <xf numFmtId="0" fontId="2" fillId="6" borderId="0" xfId="0" applyFont="1" applyFill="1" applyAlignment="1">
      <alignment horizontal="center"/>
    </xf>
    <xf numFmtId="0" fontId="1" fillId="4" borderId="5" xfId="0" applyFont="1" applyFill="1" applyBorder="1" applyAlignment="1">
      <alignment horizontal="center" vertical="center"/>
    </xf>
    <xf numFmtId="0" fontId="1" fillId="4" borderId="2" xfId="0" applyFont="1" applyFill="1" applyBorder="1" applyAlignment="1">
      <alignment horizontal="center" vertical="center"/>
    </xf>
    <xf numFmtId="0" fontId="1" fillId="4" borderId="6" xfId="0" applyFont="1" applyFill="1" applyBorder="1" applyAlignment="1">
      <alignment horizontal="center" vertical="center"/>
    </xf>
    <xf numFmtId="0" fontId="1" fillId="4" borderId="3" xfId="0" applyFont="1" applyFill="1" applyBorder="1" applyAlignment="1">
      <alignment horizontal="center" vertical="center"/>
    </xf>
    <xf numFmtId="0" fontId="1" fillId="4" borderId="7" xfId="0" applyFont="1" applyFill="1" applyBorder="1" applyAlignment="1">
      <alignment horizontal="center" vertical="center"/>
    </xf>
    <xf numFmtId="0" fontId="1" fillId="4" borderId="4" xfId="0" applyFont="1" applyFill="1" applyBorder="1" applyAlignment="1">
      <alignment horizontal="center" vertical="center"/>
    </xf>
    <xf numFmtId="0" fontId="1" fillId="0" borderId="0" xfId="0" applyFont="1" applyAlignment="1">
      <alignment horizontal="center"/>
    </xf>
    <xf numFmtId="0" fontId="1" fillId="3" borderId="1" xfId="0" applyFont="1" applyFill="1" applyBorder="1" applyAlignment="1">
      <alignment horizontal="center"/>
    </xf>
    <xf numFmtId="0" fontId="0" fillId="4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31BFA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DFD568-C73A-49AC-AD24-824B223821C6}">
  <dimension ref="A1:G9"/>
  <sheetViews>
    <sheetView workbookViewId="0">
      <selection activeCell="D23" sqref="D23"/>
    </sheetView>
  </sheetViews>
  <sheetFormatPr defaultRowHeight="14.4" x14ac:dyDescent="0.3"/>
  <sheetData>
    <row r="1" spans="1:7" x14ac:dyDescent="0.3">
      <c r="A1" s="19" t="s">
        <v>0</v>
      </c>
      <c r="B1" s="19"/>
      <c r="C1" s="19"/>
      <c r="D1" s="19"/>
      <c r="E1" s="19"/>
      <c r="F1" s="19"/>
      <c r="G1" s="19"/>
    </row>
    <row r="3" spans="1:7" x14ac:dyDescent="0.3">
      <c r="A3" s="1" t="s">
        <v>1</v>
      </c>
      <c r="B3" s="1" t="s">
        <v>2</v>
      </c>
      <c r="C3" s="1" t="s">
        <v>9</v>
      </c>
    </row>
    <row r="4" spans="1:7" x14ac:dyDescent="0.3">
      <c r="A4">
        <v>101</v>
      </c>
      <c r="B4" t="s">
        <v>3</v>
      </c>
      <c r="C4">
        <v>120</v>
      </c>
    </row>
    <row r="5" spans="1:7" x14ac:dyDescent="0.3">
      <c r="A5">
        <v>102</v>
      </c>
      <c r="B5" t="s">
        <v>4</v>
      </c>
      <c r="C5">
        <v>150</v>
      </c>
    </row>
    <row r="6" spans="1:7" x14ac:dyDescent="0.3">
      <c r="A6">
        <v>103</v>
      </c>
      <c r="B6" t="s">
        <v>5</v>
      </c>
      <c r="C6">
        <v>200</v>
      </c>
    </row>
    <row r="7" spans="1:7" x14ac:dyDescent="0.3">
      <c r="A7">
        <v>104</v>
      </c>
      <c r="B7" t="s">
        <v>6</v>
      </c>
      <c r="C7">
        <v>90</v>
      </c>
    </row>
    <row r="8" spans="1:7" x14ac:dyDescent="0.3">
      <c r="A8">
        <v>105</v>
      </c>
      <c r="B8" t="s">
        <v>7</v>
      </c>
      <c r="C8">
        <v>220</v>
      </c>
    </row>
    <row r="9" spans="1:7" x14ac:dyDescent="0.3">
      <c r="A9">
        <v>106</v>
      </c>
      <c r="B9" t="s">
        <v>8</v>
      </c>
      <c r="C9">
        <v>130</v>
      </c>
    </row>
  </sheetData>
  <mergeCells count="1">
    <mergeCell ref="A1:G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6EB803-1E7B-4D85-97E2-E2B9D43CD1E0}">
  <dimension ref="A1:H80"/>
  <sheetViews>
    <sheetView tabSelected="1" topLeftCell="A55" workbookViewId="0">
      <selection activeCell="G55" sqref="G55:H60"/>
    </sheetView>
  </sheetViews>
  <sheetFormatPr defaultRowHeight="14.4" x14ac:dyDescent="0.3"/>
  <cols>
    <col min="1" max="1" width="13.21875" bestFit="1" customWidth="1"/>
    <col min="2" max="2" width="9.44140625" bestFit="1" customWidth="1"/>
    <col min="3" max="3" width="17.33203125" bestFit="1" customWidth="1"/>
    <col min="4" max="4" width="13.21875" bestFit="1" customWidth="1"/>
    <col min="6" max="6" width="13.21875" bestFit="1" customWidth="1"/>
    <col min="7" max="7" width="15.109375" bestFit="1" customWidth="1"/>
  </cols>
  <sheetData>
    <row r="1" spans="1:8" x14ac:dyDescent="0.3">
      <c r="A1" s="19" t="s">
        <v>10</v>
      </c>
      <c r="B1" s="19"/>
      <c r="C1" s="19"/>
      <c r="D1" s="19"/>
      <c r="E1" s="19"/>
    </row>
    <row r="3" spans="1:8" ht="15.6" x14ac:dyDescent="0.3">
      <c r="A3" s="2" t="s">
        <v>11</v>
      </c>
      <c r="B3" s="2" t="s">
        <v>1</v>
      </c>
      <c r="C3" s="2" t="s">
        <v>12</v>
      </c>
      <c r="D3" s="1" t="s">
        <v>13</v>
      </c>
      <c r="F3" s="12" t="s">
        <v>30</v>
      </c>
      <c r="G3" s="12"/>
      <c r="H3" s="12"/>
    </row>
    <row r="4" spans="1:8" x14ac:dyDescent="0.3">
      <c r="A4" s="3">
        <v>1</v>
      </c>
      <c r="B4" s="3">
        <v>101</v>
      </c>
      <c r="C4" s="3">
        <v>2</v>
      </c>
      <c r="F4" s="10" t="s">
        <v>31</v>
      </c>
      <c r="G4" s="11" t="s">
        <v>32</v>
      </c>
      <c r="H4" s="11"/>
    </row>
    <row r="5" spans="1:8" x14ac:dyDescent="0.3">
      <c r="A5" s="3">
        <v>2</v>
      </c>
      <c r="B5" s="3">
        <v>103</v>
      </c>
      <c r="C5" s="3">
        <v>1</v>
      </c>
    </row>
    <row r="6" spans="1:8" x14ac:dyDescent="0.3">
      <c r="A6" s="3">
        <v>3</v>
      </c>
      <c r="B6" s="3">
        <v>105</v>
      </c>
      <c r="C6" s="3">
        <v>4</v>
      </c>
    </row>
    <row r="7" spans="1:8" x14ac:dyDescent="0.3">
      <c r="A7" s="3">
        <v>4</v>
      </c>
      <c r="B7" s="3">
        <v>106</v>
      </c>
      <c r="C7" s="3">
        <v>3</v>
      </c>
    </row>
    <row r="8" spans="1:8" x14ac:dyDescent="0.3">
      <c r="A8" s="3">
        <v>5</v>
      </c>
      <c r="B8" s="3">
        <v>102</v>
      </c>
      <c r="C8" s="3">
        <v>5</v>
      </c>
    </row>
    <row r="9" spans="1:8" x14ac:dyDescent="0.3">
      <c r="A9" s="3">
        <v>6</v>
      </c>
      <c r="B9" s="3">
        <v>104</v>
      </c>
      <c r="C9" s="3">
        <v>6</v>
      </c>
    </row>
    <row r="12" spans="1:8" x14ac:dyDescent="0.3">
      <c r="A12" s="1" t="s">
        <v>14</v>
      </c>
      <c r="B12" s="1"/>
      <c r="C12" s="1"/>
      <c r="D12" s="1"/>
      <c r="E12" s="1"/>
      <c r="F12" s="1"/>
      <c r="G12" s="1"/>
      <c r="H12" s="1"/>
    </row>
    <row r="14" spans="1:8" x14ac:dyDescent="0.3">
      <c r="A14" s="2" t="s">
        <v>11</v>
      </c>
      <c r="B14" s="2" t="s">
        <v>1</v>
      </c>
      <c r="C14" s="4" t="s">
        <v>15</v>
      </c>
    </row>
    <row r="15" spans="1:8" x14ac:dyDescent="0.3">
      <c r="A15" s="3">
        <v>1</v>
      </c>
      <c r="B15" s="3">
        <v>101</v>
      </c>
      <c r="C15" s="8" t="str">
        <f>VLOOKUP($B15,'Product Sheet -VLOOKUP'!$A$3:$C$9,2,FALSE)</f>
        <v>Product A</v>
      </c>
    </row>
    <row r="16" spans="1:8" x14ac:dyDescent="0.3">
      <c r="A16" s="3">
        <v>2</v>
      </c>
      <c r="B16" s="3">
        <v>103</v>
      </c>
      <c r="C16" s="8" t="str">
        <f>VLOOKUP($B16,'Product Sheet -VLOOKUP'!$A$3:$C$9,2,FALSE)</f>
        <v>Product C</v>
      </c>
    </row>
    <row r="17" spans="1:6" x14ac:dyDescent="0.3">
      <c r="A17" s="3">
        <v>3</v>
      </c>
      <c r="B17" s="3">
        <v>105</v>
      </c>
      <c r="C17" s="8" t="str">
        <f>VLOOKUP($B17,'Product Sheet -VLOOKUP'!$A$3:$C$9,2,FALSE)</f>
        <v>Product E</v>
      </c>
    </row>
    <row r="18" spans="1:6" x14ac:dyDescent="0.3">
      <c r="A18" s="3">
        <v>4</v>
      </c>
      <c r="B18" s="3">
        <v>106</v>
      </c>
      <c r="C18" s="8" t="str">
        <f>VLOOKUP($B18,'Product Sheet -VLOOKUP'!$A$3:$C$9,2,FALSE)</f>
        <v>Product F</v>
      </c>
    </row>
    <row r="19" spans="1:6" x14ac:dyDescent="0.3">
      <c r="A19" s="3">
        <v>5</v>
      </c>
      <c r="B19" s="3">
        <v>102</v>
      </c>
      <c r="C19" s="8" t="str">
        <f>VLOOKUP($B19,'Product Sheet -VLOOKUP'!$A$3:$C$9,2,FALSE)</f>
        <v>Product B</v>
      </c>
    </row>
    <row r="20" spans="1:6" x14ac:dyDescent="0.3">
      <c r="A20" s="3">
        <v>6</v>
      </c>
      <c r="B20" s="3">
        <v>104</v>
      </c>
      <c r="C20" s="8" t="str">
        <f>VLOOKUP($B20,'Product Sheet -VLOOKUP'!$A$3:$C$9,2,FALSE)</f>
        <v>Product D</v>
      </c>
    </row>
    <row r="22" spans="1:6" x14ac:dyDescent="0.3">
      <c r="A22" s="1" t="s">
        <v>16</v>
      </c>
    </row>
    <row r="24" spans="1:6" x14ac:dyDescent="0.3">
      <c r="A24" s="2" t="s">
        <v>11</v>
      </c>
      <c r="B24" s="2" t="s">
        <v>1</v>
      </c>
      <c r="C24" s="2" t="s">
        <v>12</v>
      </c>
      <c r="D24" s="2" t="s">
        <v>15</v>
      </c>
      <c r="E24" s="5" t="s">
        <v>9</v>
      </c>
      <c r="F24" s="4" t="s">
        <v>17</v>
      </c>
    </row>
    <row r="25" spans="1:6" x14ac:dyDescent="0.3">
      <c r="A25" s="3">
        <v>1</v>
      </c>
      <c r="B25" s="3">
        <v>101</v>
      </c>
      <c r="C25" s="3">
        <v>2</v>
      </c>
      <c r="D25" s="3" t="str">
        <f>VLOOKUP($B25,'Product Sheet -VLOOKUP'!$A$3:$C$9,2,FALSE)</f>
        <v>Product A</v>
      </c>
      <c r="E25" s="6">
        <f>VLOOKUP($B25,'Product Sheet -VLOOKUP'!$A$3:$C$9,3,FALSE)</f>
        <v>120</v>
      </c>
      <c r="F25" s="8">
        <f>$C25*$E25</f>
        <v>240</v>
      </c>
    </row>
    <row r="26" spans="1:6" x14ac:dyDescent="0.3">
      <c r="A26" s="3">
        <v>2</v>
      </c>
      <c r="B26" s="3">
        <v>103</v>
      </c>
      <c r="C26" s="3">
        <v>1</v>
      </c>
      <c r="D26" s="3" t="str">
        <f>VLOOKUP($B26,'Product Sheet -VLOOKUP'!$A$3:$C$9,2,FALSE)</f>
        <v>Product C</v>
      </c>
      <c r="E26" s="6">
        <f>VLOOKUP($B26,'Product Sheet -VLOOKUP'!$A$3:$C$9,3,FALSE)</f>
        <v>200</v>
      </c>
      <c r="F26" s="8">
        <f t="shared" ref="F26:F30" si="0">$C26*$E26</f>
        <v>200</v>
      </c>
    </row>
    <row r="27" spans="1:6" x14ac:dyDescent="0.3">
      <c r="A27" s="3">
        <v>3</v>
      </c>
      <c r="B27" s="3">
        <v>105</v>
      </c>
      <c r="C27" s="3">
        <v>4</v>
      </c>
      <c r="D27" s="3" t="str">
        <f>VLOOKUP($B27,'Product Sheet -VLOOKUP'!$A$3:$C$9,2,FALSE)</f>
        <v>Product E</v>
      </c>
      <c r="E27" s="6">
        <f>VLOOKUP($B27,'Product Sheet -VLOOKUP'!$A$3:$C$9,3,FALSE)</f>
        <v>220</v>
      </c>
      <c r="F27" s="8">
        <f t="shared" si="0"/>
        <v>880</v>
      </c>
    </row>
    <row r="28" spans="1:6" x14ac:dyDescent="0.3">
      <c r="A28" s="3">
        <v>4</v>
      </c>
      <c r="B28" s="3">
        <v>106</v>
      </c>
      <c r="C28" s="3">
        <v>3</v>
      </c>
      <c r="D28" s="3" t="str">
        <f>VLOOKUP($B28,'Product Sheet -VLOOKUP'!$A$3:$C$9,2,FALSE)</f>
        <v>Product F</v>
      </c>
      <c r="E28" s="6">
        <f>VLOOKUP($B28,'Product Sheet -VLOOKUP'!$A$3:$C$9,3,FALSE)</f>
        <v>130</v>
      </c>
      <c r="F28" s="8">
        <f t="shared" si="0"/>
        <v>390</v>
      </c>
    </row>
    <row r="29" spans="1:6" x14ac:dyDescent="0.3">
      <c r="A29" s="3">
        <v>5</v>
      </c>
      <c r="B29" s="3">
        <v>102</v>
      </c>
      <c r="C29" s="3">
        <v>5</v>
      </c>
      <c r="D29" s="3" t="str">
        <f>VLOOKUP($B29,'Product Sheet -VLOOKUP'!$A$3:$C$9,2,FALSE)</f>
        <v>Product B</v>
      </c>
      <c r="E29" s="6">
        <f>VLOOKUP($B29,'Product Sheet -VLOOKUP'!$A$3:$C$9,3,FALSE)</f>
        <v>150</v>
      </c>
      <c r="F29" s="8">
        <f t="shared" si="0"/>
        <v>750</v>
      </c>
    </row>
    <row r="30" spans="1:6" x14ac:dyDescent="0.3">
      <c r="A30" s="3">
        <v>6</v>
      </c>
      <c r="B30" s="3">
        <v>104</v>
      </c>
      <c r="C30" s="3">
        <v>6</v>
      </c>
      <c r="D30" s="3" t="str">
        <f>VLOOKUP($B30,'Product Sheet -VLOOKUP'!$A$3:$C$9,2,FALSE)</f>
        <v>Product D</v>
      </c>
      <c r="E30" s="6">
        <f>VLOOKUP($B30,'Product Sheet -VLOOKUP'!$A$3:$C$9,3,FALSE)</f>
        <v>90</v>
      </c>
      <c r="F30" s="8">
        <f t="shared" si="0"/>
        <v>540</v>
      </c>
    </row>
    <row r="32" spans="1:6" x14ac:dyDescent="0.3">
      <c r="A32" s="1" t="s">
        <v>18</v>
      </c>
    </row>
    <row r="34" spans="1:7" x14ac:dyDescent="0.3">
      <c r="B34" s="2" t="s">
        <v>1</v>
      </c>
      <c r="C34" s="4" t="s">
        <v>19</v>
      </c>
    </row>
    <row r="35" spans="1:7" x14ac:dyDescent="0.3">
      <c r="B35" s="2">
        <v>101</v>
      </c>
      <c r="C35" s="8" t="str">
        <f>IF(ISNA(VLOOKUP($B35,'Product Sheet -VLOOKUP'!$A$3:$C$9,1,FALSE)),"Not Exit","Exit")</f>
        <v>Exit</v>
      </c>
    </row>
    <row r="36" spans="1:7" x14ac:dyDescent="0.3">
      <c r="B36" s="2">
        <v>103</v>
      </c>
      <c r="C36" s="8" t="str">
        <f>IF(ISNA(VLOOKUP($B36,'Product Sheet -VLOOKUP'!$A$3:$C$9,1,FALSE)),"Not Exit","Exit")</f>
        <v>Exit</v>
      </c>
    </row>
    <row r="37" spans="1:7" x14ac:dyDescent="0.3">
      <c r="B37" s="2">
        <v>105</v>
      </c>
      <c r="C37" s="8" t="str">
        <f>IF(ISNA(VLOOKUP($B37,'Product Sheet -VLOOKUP'!$A$3:$C$9,1,FALSE)),"Not Exit","Exit")</f>
        <v>Exit</v>
      </c>
    </row>
    <row r="38" spans="1:7" x14ac:dyDescent="0.3">
      <c r="B38" s="2">
        <v>106</v>
      </c>
      <c r="C38" s="8" t="str">
        <f>IF(ISNA(VLOOKUP($B38,'Product Sheet -VLOOKUP'!$A$3:$C$9,1,FALSE)),"Not Exit","Exit")</f>
        <v>Exit</v>
      </c>
    </row>
    <row r="39" spans="1:7" x14ac:dyDescent="0.3">
      <c r="B39" s="2">
        <v>102</v>
      </c>
      <c r="C39" s="8" t="str">
        <f>IF(ISNA(VLOOKUP($B39,'Product Sheet -VLOOKUP'!$A$3:$C$9,1,FALSE)),"Not Exit","Exit")</f>
        <v>Exit</v>
      </c>
    </row>
    <row r="40" spans="1:7" x14ac:dyDescent="0.3">
      <c r="B40" s="2">
        <v>104</v>
      </c>
      <c r="C40" s="8" t="str">
        <f>IF(ISNA(VLOOKUP($B40,'Product Sheet -VLOOKUP'!$A$3:$C$9,1,FALSE)),"Not Exit","Exit")</f>
        <v>Exit</v>
      </c>
    </row>
    <row r="42" spans="1:7" x14ac:dyDescent="0.3">
      <c r="A42" s="1" t="s">
        <v>20</v>
      </c>
    </row>
    <row r="44" spans="1:7" x14ac:dyDescent="0.3">
      <c r="A44" s="2" t="s">
        <v>11</v>
      </c>
      <c r="B44" s="2" t="s">
        <v>1</v>
      </c>
      <c r="C44" s="2" t="s">
        <v>12</v>
      </c>
      <c r="D44" s="2" t="s">
        <v>15</v>
      </c>
      <c r="E44" s="4" t="s">
        <v>9</v>
      </c>
      <c r="F44" s="5" t="s">
        <v>21</v>
      </c>
      <c r="G44" s="4" t="s">
        <v>22</v>
      </c>
    </row>
    <row r="45" spans="1:7" x14ac:dyDescent="0.3">
      <c r="A45" s="3">
        <v>1</v>
      </c>
      <c r="B45" s="3">
        <v>101</v>
      </c>
      <c r="C45" s="3">
        <v>2</v>
      </c>
      <c r="D45" s="3" t="str">
        <f>VLOOKUP($B45,'Product Sheet -VLOOKUP'!$A$3:$C$9,2,FALSE)</f>
        <v>Product A</v>
      </c>
      <c r="E45" s="7">
        <f>VLOOKUP($B45,'Product Sheet -VLOOKUP'!$A$3:$C$9,3,FALSE)</f>
        <v>120</v>
      </c>
      <c r="F45" s="6">
        <f>E45*10%</f>
        <v>12</v>
      </c>
      <c r="G45" s="8">
        <f>E45-F45</f>
        <v>108</v>
      </c>
    </row>
    <row r="46" spans="1:7" x14ac:dyDescent="0.3">
      <c r="A46" s="3">
        <v>2</v>
      </c>
      <c r="B46" s="3">
        <v>103</v>
      </c>
      <c r="C46" s="3">
        <v>1</v>
      </c>
      <c r="D46" s="3" t="str">
        <f>VLOOKUP($B46,'Product Sheet -VLOOKUP'!$A$3:$C$9,2,FALSE)</f>
        <v>Product C</v>
      </c>
      <c r="E46" s="7">
        <f>VLOOKUP($B46,'Product Sheet -VLOOKUP'!$A$3:$C$9,3,FALSE)</f>
        <v>200</v>
      </c>
      <c r="F46" s="6">
        <f t="shared" ref="F46:F50" si="1">E46*10%</f>
        <v>20</v>
      </c>
      <c r="G46" s="8">
        <f t="shared" ref="G46:G50" si="2">E46-F46</f>
        <v>180</v>
      </c>
    </row>
    <row r="47" spans="1:7" x14ac:dyDescent="0.3">
      <c r="A47" s="3">
        <v>3</v>
      </c>
      <c r="B47" s="3">
        <v>105</v>
      </c>
      <c r="C47" s="3">
        <v>4</v>
      </c>
      <c r="D47" s="3" t="str">
        <f>VLOOKUP($B47,'Product Sheet -VLOOKUP'!$A$3:$C$9,2,FALSE)</f>
        <v>Product E</v>
      </c>
      <c r="E47" s="7">
        <f>VLOOKUP($B47,'Product Sheet -VLOOKUP'!$A$3:$C$9,3,FALSE)</f>
        <v>220</v>
      </c>
      <c r="F47" s="6">
        <f t="shared" si="1"/>
        <v>22</v>
      </c>
      <c r="G47" s="8">
        <f t="shared" si="2"/>
        <v>198</v>
      </c>
    </row>
    <row r="48" spans="1:7" x14ac:dyDescent="0.3">
      <c r="A48" s="3">
        <v>4</v>
      </c>
      <c r="B48" s="3">
        <v>106</v>
      </c>
      <c r="C48" s="3">
        <v>3</v>
      </c>
      <c r="D48" s="3" t="str">
        <f>VLOOKUP($B48,'Product Sheet -VLOOKUP'!$A$3:$C$9,2,FALSE)</f>
        <v>Product F</v>
      </c>
      <c r="E48" s="7">
        <f>VLOOKUP($B48,'Product Sheet -VLOOKUP'!$A$3:$C$9,3,FALSE)</f>
        <v>130</v>
      </c>
      <c r="F48" s="6">
        <f t="shared" si="1"/>
        <v>13</v>
      </c>
      <c r="G48" s="8">
        <f t="shared" si="2"/>
        <v>117</v>
      </c>
    </row>
    <row r="49" spans="1:8" x14ac:dyDescent="0.3">
      <c r="A49" s="3">
        <v>5</v>
      </c>
      <c r="B49" s="3">
        <v>102</v>
      </c>
      <c r="C49" s="3">
        <v>5</v>
      </c>
      <c r="D49" s="3" t="str">
        <f>VLOOKUP($B49,'Product Sheet -VLOOKUP'!$A$3:$C$9,2,FALSE)</f>
        <v>Product B</v>
      </c>
      <c r="E49" s="7">
        <f>VLOOKUP($B49,'Product Sheet -VLOOKUP'!$A$3:$C$9,3,FALSE)</f>
        <v>150</v>
      </c>
      <c r="F49" s="6">
        <f t="shared" si="1"/>
        <v>15</v>
      </c>
      <c r="G49" s="8">
        <f t="shared" si="2"/>
        <v>135</v>
      </c>
    </row>
    <row r="50" spans="1:8" x14ac:dyDescent="0.3">
      <c r="A50" s="3">
        <v>6</v>
      </c>
      <c r="B50" s="3">
        <v>104</v>
      </c>
      <c r="C50" s="3">
        <v>6</v>
      </c>
      <c r="D50" s="3" t="str">
        <f>VLOOKUP($B50,'Product Sheet -VLOOKUP'!$A$3:$C$9,2,FALSE)</f>
        <v>Product D</v>
      </c>
      <c r="E50" s="7">
        <f>VLOOKUP($B50,'Product Sheet -VLOOKUP'!$A$3:$C$9,3,FALSE)</f>
        <v>90</v>
      </c>
      <c r="F50" s="6">
        <f t="shared" si="1"/>
        <v>9</v>
      </c>
      <c r="G50" s="8">
        <f t="shared" si="2"/>
        <v>81</v>
      </c>
    </row>
    <row r="52" spans="1:8" x14ac:dyDescent="0.3">
      <c r="A52" s="1" t="s">
        <v>23</v>
      </c>
    </row>
    <row r="54" spans="1:8" x14ac:dyDescent="0.3">
      <c r="A54" s="2" t="s">
        <v>11</v>
      </c>
      <c r="B54" s="2" t="s">
        <v>1</v>
      </c>
      <c r="C54" s="2" t="s">
        <v>15</v>
      </c>
      <c r="D54" s="2" t="s">
        <v>12</v>
      </c>
      <c r="E54" s="2" t="s">
        <v>9</v>
      </c>
      <c r="F54" s="4" t="s">
        <v>24</v>
      </c>
      <c r="G54" s="20" t="s">
        <v>25</v>
      </c>
      <c r="H54" s="20"/>
    </row>
    <row r="55" spans="1:8" x14ac:dyDescent="0.3">
      <c r="A55" s="3">
        <v>1</v>
      </c>
      <c r="B55" s="3">
        <v>101</v>
      </c>
      <c r="C55" s="3" t="str">
        <f>VLOOKUP($B55,'Product Sheet -VLOOKUP'!$A$3:$C$9,2,FALSE)</f>
        <v>Product A</v>
      </c>
      <c r="D55" s="3">
        <v>2</v>
      </c>
      <c r="E55" s="3">
        <f>VLOOKUP($B55,'Product Sheet -VLOOKUP'!$A$3:$C$9,3,FALSE)</f>
        <v>120</v>
      </c>
      <c r="F55" s="7">
        <f>D55*E55</f>
        <v>240</v>
      </c>
      <c r="G55" s="13">
        <f>MAX(F55:F60)</f>
        <v>880</v>
      </c>
      <c r="H55" s="14"/>
    </row>
    <row r="56" spans="1:8" x14ac:dyDescent="0.3">
      <c r="A56" s="3">
        <v>2</v>
      </c>
      <c r="B56" s="3">
        <v>103</v>
      </c>
      <c r="C56" s="3" t="str">
        <f>VLOOKUP($B56,'Product Sheet -VLOOKUP'!$A$3:$C$9,2,FALSE)</f>
        <v>Product C</v>
      </c>
      <c r="D56" s="3">
        <v>1</v>
      </c>
      <c r="E56" s="3">
        <f>VLOOKUP($B56,'Product Sheet -VLOOKUP'!$A$3:$C$9,3,FALSE)</f>
        <v>200</v>
      </c>
      <c r="F56" s="7">
        <f t="shared" ref="F56:F60" si="3">D56*E56</f>
        <v>200</v>
      </c>
      <c r="G56" s="15"/>
      <c r="H56" s="16"/>
    </row>
    <row r="57" spans="1:8" x14ac:dyDescent="0.3">
      <c r="A57" s="3">
        <v>3</v>
      </c>
      <c r="B57" s="3">
        <v>105</v>
      </c>
      <c r="C57" s="3" t="str">
        <f>VLOOKUP($B57,'Product Sheet -VLOOKUP'!$A$3:$C$9,2,FALSE)</f>
        <v>Product E</v>
      </c>
      <c r="D57" s="3">
        <v>4</v>
      </c>
      <c r="E57" s="3">
        <f>VLOOKUP($B57,'Product Sheet -VLOOKUP'!$A$3:$C$9,3,FALSE)</f>
        <v>220</v>
      </c>
      <c r="F57" s="7">
        <f t="shared" si="3"/>
        <v>880</v>
      </c>
      <c r="G57" s="15"/>
      <c r="H57" s="16"/>
    </row>
    <row r="58" spans="1:8" x14ac:dyDescent="0.3">
      <c r="A58" s="3">
        <v>4</v>
      </c>
      <c r="B58" s="3">
        <v>106</v>
      </c>
      <c r="C58" s="3" t="str">
        <f>VLOOKUP($B58,'Product Sheet -VLOOKUP'!$A$3:$C$9,2,FALSE)</f>
        <v>Product F</v>
      </c>
      <c r="D58" s="3">
        <v>3</v>
      </c>
      <c r="E58" s="3">
        <f>VLOOKUP($B58,'Product Sheet -VLOOKUP'!$A$3:$C$9,3,FALSE)</f>
        <v>130</v>
      </c>
      <c r="F58" s="7">
        <f t="shared" si="3"/>
        <v>390</v>
      </c>
      <c r="G58" s="15"/>
      <c r="H58" s="16"/>
    </row>
    <row r="59" spans="1:8" x14ac:dyDescent="0.3">
      <c r="A59" s="3">
        <v>5</v>
      </c>
      <c r="B59" s="3">
        <v>102</v>
      </c>
      <c r="C59" s="3" t="str">
        <f>VLOOKUP($B59,'Product Sheet -VLOOKUP'!$A$3:$C$9,2,FALSE)</f>
        <v>Product B</v>
      </c>
      <c r="D59" s="3">
        <v>5</v>
      </c>
      <c r="E59" s="3">
        <f>VLOOKUP($B59,'Product Sheet -VLOOKUP'!$A$3:$C$9,3,FALSE)</f>
        <v>150</v>
      </c>
      <c r="F59" s="7">
        <f t="shared" si="3"/>
        <v>750</v>
      </c>
      <c r="G59" s="15"/>
      <c r="H59" s="16"/>
    </row>
    <row r="60" spans="1:8" x14ac:dyDescent="0.3">
      <c r="A60" s="3">
        <v>6</v>
      </c>
      <c r="B60" s="3">
        <v>104</v>
      </c>
      <c r="C60" s="3" t="str">
        <f>VLOOKUP($B60,'Product Sheet -VLOOKUP'!$A$3:$C$9,2,FALSE)</f>
        <v>Product D</v>
      </c>
      <c r="D60" s="3">
        <v>6</v>
      </c>
      <c r="E60" s="3">
        <f>VLOOKUP($B60,'Product Sheet -VLOOKUP'!$A$3:$C$9,3,FALSE)</f>
        <v>90</v>
      </c>
      <c r="F60" s="7">
        <f t="shared" si="3"/>
        <v>540</v>
      </c>
      <c r="G60" s="17"/>
      <c r="H60" s="18"/>
    </row>
    <row r="62" spans="1:8" x14ac:dyDescent="0.3">
      <c r="A62" s="1" t="s">
        <v>26</v>
      </c>
    </row>
    <row r="64" spans="1:8" x14ac:dyDescent="0.3">
      <c r="A64" s="2" t="s">
        <v>15</v>
      </c>
      <c r="B64" s="4" t="s">
        <v>27</v>
      </c>
    </row>
    <row r="65" spans="1:3" x14ac:dyDescent="0.3">
      <c r="A65" s="3" t="s">
        <v>3</v>
      </c>
      <c r="B65" s="8" t="str">
        <f>IF(ISNA(VLOOKUP($A65,'Product Sheet -VLOOKUP'!$B$3:$C$9,1,FALSE)),"Not Ordered","Ordered")</f>
        <v>Ordered</v>
      </c>
    </row>
    <row r="66" spans="1:3" x14ac:dyDescent="0.3">
      <c r="A66" s="3" t="s">
        <v>4</v>
      </c>
      <c r="B66" s="8" t="str">
        <f>IF(ISNA(VLOOKUP($A66,'Product Sheet -VLOOKUP'!$B$3:$C$9,1,FALSE)),"Not Ordered","Ordered")</f>
        <v>Ordered</v>
      </c>
    </row>
    <row r="67" spans="1:3" x14ac:dyDescent="0.3">
      <c r="A67" s="3" t="s">
        <v>5</v>
      </c>
      <c r="B67" s="8" t="str">
        <f>IF(ISNA(VLOOKUP($A67,'Product Sheet -VLOOKUP'!$B$3:$C$9,1,FALSE)),"Not Ordered","Ordered")</f>
        <v>Ordered</v>
      </c>
    </row>
    <row r="68" spans="1:3" x14ac:dyDescent="0.3">
      <c r="A68" s="3" t="s">
        <v>6</v>
      </c>
      <c r="B68" s="8" t="str">
        <f>IF(ISNA(VLOOKUP($A68,'Product Sheet -VLOOKUP'!$B$3:$C$9,1,FALSE)),"Not Ordered","Ordered")</f>
        <v>Ordered</v>
      </c>
    </row>
    <row r="69" spans="1:3" x14ac:dyDescent="0.3">
      <c r="A69" s="3" t="s">
        <v>7</v>
      </c>
      <c r="B69" s="8" t="str">
        <f>IF(ISNA(VLOOKUP($A69,'Product Sheet -VLOOKUP'!$B$3:$C$9,1,FALSE)),"Not Ordered","Ordered")</f>
        <v>Ordered</v>
      </c>
    </row>
    <row r="70" spans="1:3" x14ac:dyDescent="0.3">
      <c r="A70" s="3" t="s">
        <v>8</v>
      </c>
      <c r="B70" s="8" t="str">
        <f>IF(ISNA(VLOOKUP($A70,'Product Sheet -VLOOKUP'!$B$3:$C$9,1,FALSE)),"Not Ordered","Ordered")</f>
        <v>Ordered</v>
      </c>
    </row>
    <row r="72" spans="1:3" x14ac:dyDescent="0.3">
      <c r="A72" s="1" t="s">
        <v>28</v>
      </c>
    </row>
    <row r="74" spans="1:3" x14ac:dyDescent="0.3">
      <c r="A74" s="2" t="s">
        <v>1</v>
      </c>
      <c r="B74" s="9" t="s">
        <v>2</v>
      </c>
      <c r="C74" s="4" t="s">
        <v>29</v>
      </c>
    </row>
    <row r="75" spans="1:3" x14ac:dyDescent="0.3">
      <c r="A75" s="3">
        <v>101</v>
      </c>
      <c r="B75" s="21" t="str">
        <f>VLOOKUP($A75,'Product Sheet -VLOOKUP'!$A$3:$C$9,2,FALSE)</f>
        <v>Product A</v>
      </c>
      <c r="C75" s="8">
        <f>VLOOKUP($A75,$B$3:$C$9,2,FALSE)</f>
        <v>2</v>
      </c>
    </row>
    <row r="76" spans="1:3" x14ac:dyDescent="0.3">
      <c r="A76" s="3">
        <v>103</v>
      </c>
      <c r="B76" s="21" t="str">
        <f>VLOOKUP($A76,'Product Sheet -VLOOKUP'!$A$3:$C$9,2,FALSE)</f>
        <v>Product C</v>
      </c>
      <c r="C76" s="8">
        <f t="shared" ref="C76:C80" si="4">VLOOKUP($A76,$B$3:$C$9,2,FALSE)</f>
        <v>1</v>
      </c>
    </row>
    <row r="77" spans="1:3" x14ac:dyDescent="0.3">
      <c r="A77" s="3">
        <v>105</v>
      </c>
      <c r="B77" s="21" t="str">
        <f>VLOOKUP($A77,'Product Sheet -VLOOKUP'!$A$3:$C$9,2,FALSE)</f>
        <v>Product E</v>
      </c>
      <c r="C77" s="8">
        <f t="shared" si="4"/>
        <v>4</v>
      </c>
    </row>
    <row r="78" spans="1:3" x14ac:dyDescent="0.3">
      <c r="A78" s="3">
        <v>106</v>
      </c>
      <c r="B78" s="21" t="str">
        <f>VLOOKUP($A78,'Product Sheet -VLOOKUP'!$A$3:$C$9,2,FALSE)</f>
        <v>Product F</v>
      </c>
      <c r="C78" s="8">
        <f t="shared" si="4"/>
        <v>3</v>
      </c>
    </row>
    <row r="79" spans="1:3" x14ac:dyDescent="0.3">
      <c r="A79" s="3">
        <v>102</v>
      </c>
      <c r="B79" s="21" t="str">
        <f>VLOOKUP($A79,'Product Sheet -VLOOKUP'!$A$3:$C$9,2,FALSE)</f>
        <v>Product B</v>
      </c>
      <c r="C79" s="8">
        <f t="shared" si="4"/>
        <v>5</v>
      </c>
    </row>
    <row r="80" spans="1:3" x14ac:dyDescent="0.3">
      <c r="A80" s="3">
        <v>104</v>
      </c>
      <c r="B80" s="21" t="str">
        <f>VLOOKUP($A80,'Product Sheet -VLOOKUP'!$A$3:$C$9,2,FALSE)</f>
        <v>Product D</v>
      </c>
      <c r="C80" s="8">
        <f t="shared" si="4"/>
        <v>6</v>
      </c>
    </row>
  </sheetData>
  <mergeCells count="4">
    <mergeCell ref="F3:H3"/>
    <mergeCell ref="G55:H60"/>
    <mergeCell ref="A1:E1"/>
    <mergeCell ref="G54:H5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Product Sheet -VLOOKUP</vt:lpstr>
      <vt:lpstr>Order Sheet-VLOOKUP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DEBKANTA NANDI</dc:creator>
  <cp:lastModifiedBy>DEBKANTA NANDI</cp:lastModifiedBy>
  <dcterms:created xsi:type="dcterms:W3CDTF">2026-03-10T04:54:04Z</dcterms:created>
  <dcterms:modified xsi:type="dcterms:W3CDTF">2026-03-10T15:37:22Z</dcterms:modified>
</cp:coreProperties>
</file>