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PSPDebkanta\ANUDIP\EXCEL\Excel Lab assignment\"/>
    </mc:Choice>
  </mc:AlternateContent>
  <xr:revisionPtr revIDLastSave="0" documentId="13_ncr:1_{C7DB139B-053D-4D82-95A7-4A5A62D075DE}" xr6:coauthVersionLast="47" xr6:coauthVersionMax="47" xr10:uidLastSave="{00000000-0000-0000-0000-000000000000}"/>
  <bookViews>
    <workbookView xWindow="-108" yWindow="-108" windowWidth="23256" windowHeight="12456" xr2:uid="{A06B2FEA-4B98-42C4-BAB3-88D4B4B4164A}"/>
  </bookViews>
  <sheets>
    <sheet name="Lab Assigment-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4" i="1" l="1"/>
  <c r="N85" i="1"/>
  <c r="N86" i="1"/>
  <c r="N87" i="1"/>
  <c r="N88" i="1"/>
  <c r="N83" i="1"/>
  <c r="M88" i="1"/>
  <c r="L88" i="1"/>
  <c r="K88" i="1" a="1"/>
  <c r="K88" i="1" s="1"/>
  <c r="J88" i="1"/>
  <c r="H88" i="1"/>
  <c r="I88" i="1" s="1"/>
  <c r="G88" i="1"/>
  <c r="F88" i="1"/>
  <c r="M87" i="1"/>
  <c r="L87" i="1"/>
  <c r="K87" i="1"/>
  <c r="K87" i="1" a="1"/>
  <c r="J87" i="1"/>
  <c r="H87" i="1"/>
  <c r="I87" i="1" s="1"/>
  <c r="G87" i="1"/>
  <c r="F87" i="1"/>
  <c r="M86" i="1"/>
  <c r="L86" i="1"/>
  <c r="K86" i="1" a="1"/>
  <c r="K86" i="1" s="1"/>
  <c r="J86" i="1"/>
  <c r="I86" i="1"/>
  <c r="H86" i="1"/>
  <c r="G86" i="1"/>
  <c r="F86" i="1"/>
  <c r="M85" i="1"/>
  <c r="L85" i="1"/>
  <c r="K85" i="1" a="1"/>
  <c r="K85" i="1" s="1"/>
  <c r="J85" i="1"/>
  <c r="H85" i="1"/>
  <c r="I85" i="1" s="1"/>
  <c r="G85" i="1"/>
  <c r="F85" i="1"/>
  <c r="M84" i="1"/>
  <c r="L84" i="1"/>
  <c r="K84" i="1" a="1"/>
  <c r="K84" i="1" s="1"/>
  <c r="J84" i="1"/>
  <c r="I84" i="1"/>
  <c r="H84" i="1"/>
  <c r="G84" i="1"/>
  <c r="F84" i="1"/>
  <c r="M83" i="1"/>
  <c r="L83" i="1"/>
  <c r="K83" i="1"/>
  <c r="K83" i="1" a="1"/>
  <c r="J83" i="1"/>
  <c r="H83" i="1"/>
  <c r="I83" i="1" s="1"/>
  <c r="G83" i="1"/>
  <c r="F83" i="1"/>
  <c r="G24" i="1"/>
  <c r="G25" i="1"/>
  <c r="G26" i="1"/>
  <c r="G27" i="1"/>
  <c r="G28" i="1"/>
  <c r="G23" i="1"/>
  <c r="M74" i="1"/>
  <c r="M75" i="1"/>
  <c r="M76" i="1"/>
  <c r="M77" i="1"/>
  <c r="M78" i="1"/>
  <c r="M73" i="1"/>
  <c r="L78" i="1"/>
  <c r="K78" i="1"/>
  <c r="K78" i="1" a="1"/>
  <c r="J78" i="1"/>
  <c r="H78" i="1"/>
  <c r="I78" i="1" s="1"/>
  <c r="G78" i="1"/>
  <c r="F78" i="1"/>
  <c r="L77" i="1"/>
  <c r="K77" i="1"/>
  <c r="K77" i="1" a="1"/>
  <c r="J77" i="1"/>
  <c r="H77" i="1"/>
  <c r="I77" i="1" s="1"/>
  <c r="G77" i="1"/>
  <c r="F77" i="1"/>
  <c r="L76" i="1"/>
  <c r="K76" i="1"/>
  <c r="K76" i="1" a="1"/>
  <c r="J76" i="1"/>
  <c r="H76" i="1"/>
  <c r="I76" i="1" s="1"/>
  <c r="G76" i="1"/>
  <c r="F76" i="1"/>
  <c r="L75" i="1"/>
  <c r="K75" i="1"/>
  <c r="K75" i="1" a="1"/>
  <c r="J75" i="1"/>
  <c r="H75" i="1"/>
  <c r="I75" i="1" s="1"/>
  <c r="G75" i="1"/>
  <c r="F75" i="1"/>
  <c r="L74" i="1"/>
  <c r="K74" i="1"/>
  <c r="K74" i="1" a="1"/>
  <c r="J74" i="1"/>
  <c r="H74" i="1"/>
  <c r="I74" i="1" s="1"/>
  <c r="G74" i="1"/>
  <c r="F74" i="1"/>
  <c r="L73" i="1"/>
  <c r="K73" i="1"/>
  <c r="K73" i="1" a="1"/>
  <c r="J73" i="1"/>
  <c r="H73" i="1"/>
  <c r="I73" i="1" s="1"/>
  <c r="G73" i="1"/>
  <c r="F73" i="1"/>
  <c r="L64" i="1"/>
  <c r="L65" i="1"/>
  <c r="L66" i="1"/>
  <c r="L67" i="1"/>
  <c r="L68" i="1"/>
  <c r="L63" i="1"/>
  <c r="I65" i="1"/>
  <c r="I64" i="1"/>
  <c r="I54" i="1"/>
  <c r="K68" i="1" a="1"/>
  <c r="K68" i="1" s="1"/>
  <c r="J68" i="1"/>
  <c r="H68" i="1"/>
  <c r="I68" i="1" s="1"/>
  <c r="G68" i="1"/>
  <c r="F68" i="1"/>
  <c r="K67" i="1" a="1"/>
  <c r="K67" i="1" s="1"/>
  <c r="J67" i="1"/>
  <c r="H67" i="1"/>
  <c r="I67" i="1" s="1"/>
  <c r="G67" i="1"/>
  <c r="F67" i="1"/>
  <c r="K66" i="1" a="1"/>
  <c r="K66" i="1" s="1"/>
  <c r="J66" i="1"/>
  <c r="H66" i="1"/>
  <c r="I66" i="1" s="1"/>
  <c r="G66" i="1"/>
  <c r="F66" i="1"/>
  <c r="K65" i="1" a="1"/>
  <c r="K65" i="1" s="1"/>
  <c r="J65" i="1"/>
  <c r="H65" i="1"/>
  <c r="G65" i="1"/>
  <c r="F65" i="1"/>
  <c r="K64" i="1" a="1"/>
  <c r="K64" i="1" s="1"/>
  <c r="J64" i="1"/>
  <c r="H64" i="1"/>
  <c r="G64" i="1"/>
  <c r="F64" i="1"/>
  <c r="K63" i="1" a="1"/>
  <c r="K63" i="1" s="1"/>
  <c r="J63" i="1"/>
  <c r="H63" i="1"/>
  <c r="I63" i="1" s="1"/>
  <c r="G63" i="1"/>
  <c r="F63" i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3" i="1" a="1"/>
  <c r="K53" i="1" s="1"/>
  <c r="J58" i="1"/>
  <c r="H58" i="1"/>
  <c r="I58" i="1" s="1"/>
  <c r="G58" i="1"/>
  <c r="F58" i="1"/>
  <c r="J57" i="1"/>
  <c r="H57" i="1"/>
  <c r="I57" i="1" s="1"/>
  <c r="G57" i="1"/>
  <c r="F57" i="1"/>
  <c r="J56" i="1"/>
  <c r="H56" i="1"/>
  <c r="I56" i="1" s="1"/>
  <c r="G56" i="1"/>
  <c r="F56" i="1"/>
  <c r="J55" i="1"/>
  <c r="H55" i="1"/>
  <c r="I55" i="1" s="1"/>
  <c r="G55" i="1"/>
  <c r="F55" i="1"/>
  <c r="J54" i="1"/>
  <c r="H54" i="1"/>
  <c r="G54" i="1"/>
  <c r="F54" i="1"/>
  <c r="J53" i="1"/>
  <c r="H53" i="1"/>
  <c r="I53" i="1" s="1"/>
  <c r="G53" i="1"/>
  <c r="F53" i="1"/>
  <c r="J44" i="1"/>
  <c r="J45" i="1"/>
  <c r="J46" i="1"/>
  <c r="J47" i="1"/>
  <c r="J48" i="1"/>
  <c r="J43" i="1"/>
  <c r="H48" i="1"/>
  <c r="I48" i="1" s="1"/>
  <c r="G48" i="1"/>
  <c r="F48" i="1"/>
  <c r="H47" i="1"/>
  <c r="I47" i="1" s="1"/>
  <c r="G47" i="1"/>
  <c r="F47" i="1"/>
  <c r="H46" i="1"/>
  <c r="I46" i="1" s="1"/>
  <c r="G46" i="1"/>
  <c r="F46" i="1"/>
  <c r="H45" i="1"/>
  <c r="I45" i="1" s="1"/>
  <c r="G45" i="1"/>
  <c r="F45" i="1"/>
  <c r="H44" i="1"/>
  <c r="I44" i="1" s="1"/>
  <c r="G44" i="1"/>
  <c r="F44" i="1"/>
  <c r="H43" i="1"/>
  <c r="I43" i="1" s="1"/>
  <c r="G43" i="1"/>
  <c r="F43" i="1"/>
  <c r="H34" i="1"/>
  <c r="H35" i="1"/>
  <c r="H36" i="1"/>
  <c r="H37" i="1"/>
  <c r="H38" i="1"/>
  <c r="H33" i="1"/>
  <c r="G38" i="1"/>
  <c r="F38" i="1"/>
  <c r="G37" i="1"/>
  <c r="F37" i="1"/>
  <c r="G36" i="1"/>
  <c r="F36" i="1"/>
  <c r="G35" i="1"/>
  <c r="F35" i="1"/>
  <c r="G34" i="1"/>
  <c r="F34" i="1"/>
  <c r="G33" i="1"/>
  <c r="F33" i="1"/>
  <c r="F28" i="1"/>
  <c r="F27" i="1"/>
  <c r="F26" i="1"/>
  <c r="F25" i="1"/>
  <c r="F24" i="1"/>
  <c r="F23" i="1"/>
  <c r="F14" i="1"/>
  <c r="F15" i="1"/>
  <c r="F16" i="1"/>
  <c r="F17" i="1"/>
  <c r="F18" i="1"/>
  <c r="F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<sst xmlns="http://schemas.openxmlformats.org/spreadsheetml/2006/main" count="206" uniqueCount="36">
  <si>
    <t>ProductID</t>
  </si>
  <si>
    <t>Product</t>
  </si>
  <si>
    <t>Product A</t>
  </si>
  <si>
    <t>Product B</t>
  </si>
  <si>
    <t>Product C</t>
  </si>
  <si>
    <t>Product D</t>
  </si>
  <si>
    <t>Product E</t>
  </si>
  <si>
    <t>Product F</t>
  </si>
  <si>
    <t>Sales</t>
  </si>
  <si>
    <t>Target</t>
  </si>
  <si>
    <t>Region</t>
  </si>
  <si>
    <t>North</t>
  </si>
  <si>
    <t>South</t>
  </si>
  <si>
    <t>East</t>
  </si>
  <si>
    <t>West</t>
  </si>
  <si>
    <t>Worksheet: SalesData</t>
  </si>
  <si>
    <t>Sales Target Met</t>
  </si>
  <si>
    <t>1. Use the IF function to evaluate whether each product met its sales target.</t>
  </si>
  <si>
    <t>Regional Bonus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</si>
  <si>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</si>
  <si>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</t>
  </si>
  <si>
    <t>Commission Rate</t>
  </si>
  <si>
    <t>Bonus Scale</t>
  </si>
  <si>
    <t>4. Use the IF function to calculate a bonus amount. If sales met or exceeded the target, the bonus is 10% of the sales; otherwise, it's 5%.</t>
  </si>
  <si>
    <t>Bonus Amount</t>
  </si>
  <si>
    <t>5. Use the IF function to categorize sales performance as "Excellent" (&gt;=200), "Good" (&gt;=150), or "Needs Improvement" (&lt;150).</t>
  </si>
  <si>
    <t>6. Use the IF function to assign a price tier based on the sales value. "High" for sales &gt; 200, "Medium" for sales between 100 and 200, and "Low" for sales &lt; 100</t>
  </si>
  <si>
    <t>Sales Performance</t>
  </si>
  <si>
    <t>Price Tier</t>
  </si>
  <si>
    <t>7. Use the IF function to calculate the year-end bonus. If sales &gt;= 150 and region is "North", the bonus is $500, otherwise, it's $300</t>
  </si>
  <si>
    <t>Year-end Bonus</t>
  </si>
  <si>
    <t>8. Use the IF function to mark high performers. A product is a high performer if its sales are in the top 25% of all sales.</t>
  </si>
  <si>
    <t>Performer Status</t>
  </si>
  <si>
    <t>Name:- Debkanta Nandi</t>
  </si>
  <si>
    <t>D3870</t>
  </si>
  <si>
    <t>Course:- DPBA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</si>
</sst>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0" xfId="0" applyFont="1" applyFill="1"/>
    <xf numFmtId="0" fontId="1" fillId="6" borderId="1" xfId="0" applyFont="1" applyFill="1" applyBorder="1"/>
    <xf numFmtId="0" fontId="1" fillId="7" borderId="1" xfId="0" applyFont="1" applyFill="1" applyBorder="1"/>
    <xf numFmtId="0" fontId="0" fillId="7" borderId="0" xfId="0" applyFill="1"/>
    <xf numFmtId="9" fontId="1" fillId="8" borderId="1" xfId="0" applyNumberFormat="1" applyFont="1" applyFill="1" applyBorder="1"/>
    <xf numFmtId="9" fontId="1" fillId="7" borderId="1" xfId="0" applyNumberFormat="1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164" fontId="1" fillId="7" borderId="1" xfId="0" applyNumberFormat="1" applyFont="1" applyFill="1" applyBorder="1"/>
    <xf numFmtId="164" fontId="1" fillId="10" borderId="1" xfId="0" applyNumberFormat="1" applyFont="1" applyFill="1" applyBorder="1"/>
    <xf numFmtId="0" fontId="3" fillId="0" borderId="0" xfId="0" applyFont="1" applyAlignment="1">
      <alignment vertical="center"/>
    </xf>
    <xf numFmtId="0" fontId="1" fillId="7" borderId="0" xfId="0" applyFont="1" applyFill="1"/>
    <xf numFmtId="0" fontId="2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652AB-8BD6-47EF-9225-6E1C9B6BDC98}">
  <sheetPr>
    <tabColor rgb="FFFF0000"/>
  </sheetPr>
  <dimension ref="A1:O88"/>
  <sheetViews>
    <sheetView tabSelected="1" workbookViewId="0">
      <selection activeCell="N64" sqref="N64"/>
    </sheetView>
  </sheetViews>
  <sheetFormatPr defaultRowHeight="14.4" x14ac:dyDescent="0.3"/>
  <cols>
    <col min="6" max="6" width="19.88671875" customWidth="1"/>
    <col min="7" max="7" width="14.33203125" customWidth="1"/>
    <col min="8" max="8" width="15.21875" customWidth="1"/>
    <col min="9" max="9" width="13.44140625" customWidth="1"/>
    <col min="10" max="10" width="17.88671875" customWidth="1"/>
    <col min="11" max="11" width="17.6640625" customWidth="1"/>
    <col min="12" max="12" width="10.6640625" customWidth="1"/>
    <col min="13" max="13" width="18.21875" customWidth="1"/>
    <col min="14" max="14" width="15.5546875" customWidth="1"/>
  </cols>
  <sheetData>
    <row r="1" spans="1:10" ht="18.600000000000001" thickBot="1" x14ac:dyDescent="0.4">
      <c r="A1" s="17" t="s">
        <v>15</v>
      </c>
      <c r="B1" s="17"/>
      <c r="C1" s="17"/>
      <c r="D1" s="17"/>
      <c r="E1" s="17"/>
    </row>
    <row r="2" spans="1:10" ht="18" x14ac:dyDescent="0.3">
      <c r="A2" s="2" t="s">
        <v>0</v>
      </c>
      <c r="B2" s="2" t="s">
        <v>1</v>
      </c>
      <c r="C2" s="2" t="s">
        <v>8</v>
      </c>
      <c r="D2" s="2" t="s">
        <v>9</v>
      </c>
      <c r="E2" s="2" t="s">
        <v>10</v>
      </c>
      <c r="H2" s="18" t="s">
        <v>33</v>
      </c>
      <c r="I2" s="19"/>
      <c r="J2" s="15"/>
    </row>
    <row r="3" spans="1:10" ht="18" x14ac:dyDescent="0.3">
      <c r="A3" s="1">
        <v>101</v>
      </c>
      <c r="B3" s="1" t="s">
        <v>2</v>
      </c>
      <c r="C3" s="1">
        <v>120</v>
      </c>
      <c r="D3" s="1">
        <v>150</v>
      </c>
      <c r="E3" s="1" t="s">
        <v>11</v>
      </c>
      <c r="H3" s="20" t="s">
        <v>35</v>
      </c>
      <c r="I3" s="21"/>
      <c r="J3" s="15"/>
    </row>
    <row r="4" spans="1:10" ht="15" thickBot="1" x14ac:dyDescent="0.35">
      <c r="A4" s="1">
        <v>102</v>
      </c>
      <c r="B4" s="1" t="s">
        <v>3</v>
      </c>
      <c r="C4" s="1">
        <v>150</v>
      </c>
      <c r="D4" s="1">
        <v>140</v>
      </c>
      <c r="E4" s="1" t="s">
        <v>12</v>
      </c>
      <c r="H4" s="22" t="s">
        <v>34</v>
      </c>
      <c r="I4" s="23"/>
    </row>
    <row r="5" spans="1:10" x14ac:dyDescent="0.3">
      <c r="A5" s="1">
        <v>103</v>
      </c>
      <c r="B5" s="1" t="s">
        <v>4</v>
      </c>
      <c r="C5" s="1">
        <v>200</v>
      </c>
      <c r="D5" s="1">
        <v>200</v>
      </c>
      <c r="E5" s="1" t="s">
        <v>13</v>
      </c>
    </row>
    <row r="6" spans="1:10" x14ac:dyDescent="0.3">
      <c r="A6" s="1">
        <v>104</v>
      </c>
      <c r="B6" s="1" t="s">
        <v>5</v>
      </c>
      <c r="C6" s="1">
        <v>90</v>
      </c>
      <c r="D6" s="1">
        <v>100</v>
      </c>
      <c r="E6" s="1" t="s">
        <v>14</v>
      </c>
    </row>
    <row r="7" spans="1:10" x14ac:dyDescent="0.3">
      <c r="A7" s="1">
        <v>105</v>
      </c>
      <c r="B7" s="1" t="s">
        <v>6</v>
      </c>
      <c r="C7" s="1">
        <v>220</v>
      </c>
      <c r="D7" s="1">
        <v>210</v>
      </c>
      <c r="E7" s="1" t="s">
        <v>11</v>
      </c>
    </row>
    <row r="8" spans="1:10" x14ac:dyDescent="0.3">
      <c r="A8" s="1">
        <v>106</v>
      </c>
      <c r="B8" s="1" t="s">
        <v>7</v>
      </c>
      <c r="C8" s="1">
        <v>130</v>
      </c>
      <c r="D8" s="1">
        <v>160</v>
      </c>
      <c r="E8" s="1" t="s">
        <v>12</v>
      </c>
    </row>
    <row r="10" spans="1:10" x14ac:dyDescent="0.3">
      <c r="A10" s="5" t="s">
        <v>17</v>
      </c>
      <c r="B10" s="5"/>
      <c r="C10" s="5"/>
      <c r="D10" s="5"/>
      <c r="E10" s="5"/>
      <c r="F10" s="5"/>
    </row>
    <row r="12" spans="1:10" x14ac:dyDescent="0.3">
      <c r="A12" s="2" t="s">
        <v>0</v>
      </c>
      <c r="B12" s="2" t="s">
        <v>1</v>
      </c>
      <c r="C12" s="2" t="s">
        <v>8</v>
      </c>
      <c r="D12" s="2" t="s">
        <v>9</v>
      </c>
      <c r="E12" s="2" t="s">
        <v>10</v>
      </c>
      <c r="F12" s="3" t="s">
        <v>16</v>
      </c>
    </row>
    <row r="13" spans="1:10" x14ac:dyDescent="0.3">
      <c r="A13" s="1">
        <v>101</v>
      </c>
      <c r="B13" s="1" t="s">
        <v>2</v>
      </c>
      <c r="C13" s="1">
        <v>120</v>
      </c>
      <c r="D13" s="1">
        <v>150</v>
      </c>
      <c r="E13" s="1" t="s">
        <v>11</v>
      </c>
      <c r="F13" s="4" t="str">
        <f>IF(C13&gt;=D13,"Yes","No")</f>
        <v>No</v>
      </c>
    </row>
    <row r="14" spans="1:10" x14ac:dyDescent="0.3">
      <c r="A14" s="1">
        <v>102</v>
      </c>
      <c r="B14" s="1" t="s">
        <v>3</v>
      </c>
      <c r="C14" s="1">
        <v>150</v>
      </c>
      <c r="D14" s="1">
        <v>140</v>
      </c>
      <c r="E14" s="1" t="s">
        <v>12</v>
      </c>
      <c r="F14" s="4" t="str">
        <f t="shared" ref="F14:F18" si="0">IF(C14&gt;=D14,"Yes","No")</f>
        <v>Yes</v>
      </c>
    </row>
    <row r="15" spans="1:10" x14ac:dyDescent="0.3">
      <c r="A15" s="1">
        <v>103</v>
      </c>
      <c r="B15" s="1" t="s">
        <v>4</v>
      </c>
      <c r="C15" s="1">
        <v>200</v>
      </c>
      <c r="D15" s="1">
        <v>200</v>
      </c>
      <c r="E15" s="1" t="s">
        <v>13</v>
      </c>
      <c r="F15" s="4" t="str">
        <f t="shared" si="0"/>
        <v>Yes</v>
      </c>
    </row>
    <row r="16" spans="1:10" x14ac:dyDescent="0.3">
      <c r="A16" s="1">
        <v>104</v>
      </c>
      <c r="B16" s="1" t="s">
        <v>5</v>
      </c>
      <c r="C16" s="1">
        <v>90</v>
      </c>
      <c r="D16" s="1">
        <v>100</v>
      </c>
      <c r="E16" s="1" t="s">
        <v>14</v>
      </c>
      <c r="F16" s="4" t="str">
        <f t="shared" si="0"/>
        <v>No</v>
      </c>
    </row>
    <row r="17" spans="1:15" x14ac:dyDescent="0.3">
      <c r="A17" s="1">
        <v>105</v>
      </c>
      <c r="B17" s="1" t="s">
        <v>6</v>
      </c>
      <c r="C17" s="1">
        <v>220</v>
      </c>
      <c r="D17" s="1">
        <v>210</v>
      </c>
      <c r="E17" s="1" t="s">
        <v>11</v>
      </c>
      <c r="F17" s="4" t="str">
        <f t="shared" si="0"/>
        <v>Yes</v>
      </c>
    </row>
    <row r="18" spans="1:15" x14ac:dyDescent="0.3">
      <c r="A18" s="1">
        <v>106</v>
      </c>
      <c r="B18" s="1" t="s">
        <v>7</v>
      </c>
      <c r="C18" s="1">
        <v>130</v>
      </c>
      <c r="D18" s="1">
        <v>160</v>
      </c>
      <c r="E18" s="1" t="s">
        <v>12</v>
      </c>
      <c r="F18" s="4" t="str">
        <f t="shared" si="0"/>
        <v>No</v>
      </c>
    </row>
    <row r="20" spans="1:15" x14ac:dyDescent="0.3">
      <c r="A20" s="5" t="s">
        <v>19</v>
      </c>
      <c r="B20" s="5"/>
      <c r="C20" s="5"/>
      <c r="D20" s="5"/>
      <c r="E20" s="5"/>
      <c r="F20" s="5"/>
      <c r="G20" s="5"/>
      <c r="H20" s="5"/>
      <c r="I20" s="5"/>
      <c r="J20" s="5"/>
      <c r="K20" s="16"/>
      <c r="L20" s="8"/>
    </row>
    <row r="22" spans="1:15" x14ac:dyDescent="0.3">
      <c r="A22" s="2" t="s">
        <v>0</v>
      </c>
      <c r="B22" s="2" t="s">
        <v>1</v>
      </c>
      <c r="C22" s="2" t="s">
        <v>8</v>
      </c>
      <c r="D22" s="2" t="s">
        <v>9</v>
      </c>
      <c r="E22" s="2" t="s">
        <v>10</v>
      </c>
      <c r="F22" s="6" t="s">
        <v>16</v>
      </c>
      <c r="G22" s="3" t="s">
        <v>18</v>
      </c>
    </row>
    <row r="23" spans="1:15" x14ac:dyDescent="0.3">
      <c r="A23" s="1">
        <v>101</v>
      </c>
      <c r="B23" s="1" t="s">
        <v>2</v>
      </c>
      <c r="C23" s="1">
        <v>120</v>
      </c>
      <c r="D23" s="1">
        <v>150</v>
      </c>
      <c r="E23" s="1" t="s">
        <v>11</v>
      </c>
      <c r="F23" s="7" t="str">
        <f>IF(C23&gt;=D23,"Yes","No")</f>
        <v>No</v>
      </c>
      <c r="G23" s="4" t="str">
        <f>IF(AND(C23&gt;200,E23="North"),"Eligible","Not Eligible")</f>
        <v>Not Eligible</v>
      </c>
    </row>
    <row r="24" spans="1:15" x14ac:dyDescent="0.3">
      <c r="A24" s="1">
        <v>102</v>
      </c>
      <c r="B24" s="1" t="s">
        <v>3</v>
      </c>
      <c r="C24" s="1">
        <v>150</v>
      </c>
      <c r="D24" s="1">
        <v>140</v>
      </c>
      <c r="E24" s="1" t="s">
        <v>12</v>
      </c>
      <c r="F24" s="7" t="str">
        <f t="shared" ref="F24:F28" si="1">IF(C24&gt;=D24,"Yes","No")</f>
        <v>Yes</v>
      </c>
      <c r="G24" s="4" t="str">
        <f t="shared" ref="G24:G28" si="2">IF(AND(C24&gt;200,E24="North"),"Eligible","Not Eligible")</f>
        <v>Not Eligible</v>
      </c>
    </row>
    <row r="25" spans="1:15" x14ac:dyDescent="0.3">
      <c r="A25" s="1">
        <v>103</v>
      </c>
      <c r="B25" s="1" t="s">
        <v>4</v>
      </c>
      <c r="C25" s="1">
        <v>200</v>
      </c>
      <c r="D25" s="1">
        <v>200</v>
      </c>
      <c r="E25" s="1" t="s">
        <v>13</v>
      </c>
      <c r="F25" s="7" t="str">
        <f t="shared" si="1"/>
        <v>Yes</v>
      </c>
      <c r="G25" s="4" t="str">
        <f t="shared" si="2"/>
        <v>Not Eligible</v>
      </c>
    </row>
    <row r="26" spans="1:15" x14ac:dyDescent="0.3">
      <c r="A26" s="1">
        <v>104</v>
      </c>
      <c r="B26" s="1" t="s">
        <v>5</v>
      </c>
      <c r="C26" s="1">
        <v>90</v>
      </c>
      <c r="D26" s="1">
        <v>100</v>
      </c>
      <c r="E26" s="1" t="s">
        <v>14</v>
      </c>
      <c r="F26" s="7" t="str">
        <f t="shared" si="1"/>
        <v>No</v>
      </c>
      <c r="G26" s="4" t="str">
        <f t="shared" si="2"/>
        <v>Not Eligible</v>
      </c>
    </row>
    <row r="27" spans="1:15" x14ac:dyDescent="0.3">
      <c r="A27" s="1">
        <v>105</v>
      </c>
      <c r="B27" s="1" t="s">
        <v>6</v>
      </c>
      <c r="C27" s="1">
        <v>220</v>
      </c>
      <c r="D27" s="1">
        <v>210</v>
      </c>
      <c r="E27" s="1" t="s">
        <v>11</v>
      </c>
      <c r="F27" s="7" t="str">
        <f t="shared" si="1"/>
        <v>Yes</v>
      </c>
      <c r="G27" s="4" t="str">
        <f t="shared" si="2"/>
        <v>Eligible</v>
      </c>
    </row>
    <row r="28" spans="1:15" x14ac:dyDescent="0.3">
      <c r="A28" s="1">
        <v>106</v>
      </c>
      <c r="B28" s="1" t="s">
        <v>7</v>
      </c>
      <c r="C28" s="1">
        <v>130</v>
      </c>
      <c r="D28" s="1">
        <v>160</v>
      </c>
      <c r="E28" s="1" t="s">
        <v>12</v>
      </c>
      <c r="F28" s="7" t="str">
        <f t="shared" si="1"/>
        <v>No</v>
      </c>
      <c r="G28" s="4" t="str">
        <f t="shared" si="2"/>
        <v>Not Eligible</v>
      </c>
    </row>
    <row r="30" spans="1:15" x14ac:dyDescent="0.3">
      <c r="A30" s="5" t="s">
        <v>20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16"/>
      <c r="N30" s="16"/>
      <c r="O30" s="8"/>
    </row>
    <row r="32" spans="1:15" x14ac:dyDescent="0.3">
      <c r="A32" s="2" t="s">
        <v>0</v>
      </c>
      <c r="B32" s="2" t="s">
        <v>1</v>
      </c>
      <c r="C32" s="2" t="s">
        <v>8</v>
      </c>
      <c r="D32" s="2" t="s">
        <v>9</v>
      </c>
      <c r="E32" s="2" t="s">
        <v>10</v>
      </c>
      <c r="F32" s="6" t="s">
        <v>16</v>
      </c>
      <c r="G32" s="6" t="s">
        <v>18</v>
      </c>
      <c r="H32" s="3" t="s">
        <v>21</v>
      </c>
    </row>
    <row r="33" spans="1:10" x14ac:dyDescent="0.3">
      <c r="A33" s="1">
        <v>101</v>
      </c>
      <c r="B33" s="1" t="s">
        <v>2</v>
      </c>
      <c r="C33" s="1">
        <v>120</v>
      </c>
      <c r="D33" s="1">
        <v>150</v>
      </c>
      <c r="E33" s="1" t="s">
        <v>11</v>
      </c>
      <c r="F33" s="7" t="str">
        <f>IF(C33&gt;=D33,"Yes","No")</f>
        <v>No</v>
      </c>
      <c r="G33" s="7" t="str">
        <f>IF(AND(E33="North",C33&gt;200),"Eligible","Not Eligible")</f>
        <v>Not Eligible</v>
      </c>
      <c r="H33" s="9">
        <f>IF(C33&gt;=200,10%,IF(C33&gt;=150,7%,5%))</f>
        <v>0.05</v>
      </c>
    </row>
    <row r="34" spans="1:10" x14ac:dyDescent="0.3">
      <c r="A34" s="1">
        <v>102</v>
      </c>
      <c r="B34" s="1" t="s">
        <v>3</v>
      </c>
      <c r="C34" s="1">
        <v>150</v>
      </c>
      <c r="D34" s="1">
        <v>140</v>
      </c>
      <c r="E34" s="1" t="s">
        <v>12</v>
      </c>
      <c r="F34" s="7" t="str">
        <f t="shared" ref="F34:F38" si="3">IF(C34&gt;=D34,"Yes","No")</f>
        <v>Yes</v>
      </c>
      <c r="G34" s="7" t="str">
        <f t="shared" ref="G34:G38" si="4">IF(AND(E34="North",C34&gt;200),"Eligible","Not Eligible")</f>
        <v>Not Eligible</v>
      </c>
      <c r="H34" s="9">
        <f t="shared" ref="H34:H38" si="5">IF(C34&gt;=200,10%,IF(C34&gt;=150,7%,5%))</f>
        <v>7.0000000000000007E-2</v>
      </c>
    </row>
    <row r="35" spans="1:10" x14ac:dyDescent="0.3">
      <c r="A35" s="1">
        <v>103</v>
      </c>
      <c r="B35" s="1" t="s">
        <v>4</v>
      </c>
      <c r="C35" s="1">
        <v>200</v>
      </c>
      <c r="D35" s="1">
        <v>200</v>
      </c>
      <c r="E35" s="1" t="s">
        <v>13</v>
      </c>
      <c r="F35" s="7" t="str">
        <f t="shared" si="3"/>
        <v>Yes</v>
      </c>
      <c r="G35" s="7" t="str">
        <f t="shared" si="4"/>
        <v>Not Eligible</v>
      </c>
      <c r="H35" s="9">
        <f t="shared" si="5"/>
        <v>0.1</v>
      </c>
    </row>
    <row r="36" spans="1:10" x14ac:dyDescent="0.3">
      <c r="A36" s="1">
        <v>104</v>
      </c>
      <c r="B36" s="1" t="s">
        <v>5</v>
      </c>
      <c r="C36" s="1">
        <v>90</v>
      </c>
      <c r="D36" s="1">
        <v>100</v>
      </c>
      <c r="E36" s="1" t="s">
        <v>14</v>
      </c>
      <c r="F36" s="7" t="str">
        <f t="shared" si="3"/>
        <v>No</v>
      </c>
      <c r="G36" s="7" t="str">
        <f t="shared" si="4"/>
        <v>Not Eligible</v>
      </c>
      <c r="H36" s="9">
        <f t="shared" si="5"/>
        <v>0.05</v>
      </c>
    </row>
    <row r="37" spans="1:10" x14ac:dyDescent="0.3">
      <c r="A37" s="1">
        <v>105</v>
      </c>
      <c r="B37" s="1" t="s">
        <v>6</v>
      </c>
      <c r="C37" s="1">
        <v>220</v>
      </c>
      <c r="D37" s="1">
        <v>210</v>
      </c>
      <c r="E37" s="1" t="s">
        <v>11</v>
      </c>
      <c r="F37" s="7" t="str">
        <f t="shared" si="3"/>
        <v>Yes</v>
      </c>
      <c r="G37" s="7" t="str">
        <f t="shared" si="4"/>
        <v>Eligible</v>
      </c>
      <c r="H37" s="9">
        <f t="shared" si="5"/>
        <v>0.1</v>
      </c>
    </row>
    <row r="38" spans="1:10" x14ac:dyDescent="0.3">
      <c r="A38" s="1">
        <v>106</v>
      </c>
      <c r="B38" s="1" t="s">
        <v>7</v>
      </c>
      <c r="C38" s="1">
        <v>130</v>
      </c>
      <c r="D38" s="1">
        <v>160</v>
      </c>
      <c r="E38" s="1" t="s">
        <v>12</v>
      </c>
      <c r="F38" s="7" t="str">
        <f t="shared" si="3"/>
        <v>No</v>
      </c>
      <c r="G38" s="7" t="str">
        <f t="shared" si="4"/>
        <v>Not Eligible</v>
      </c>
      <c r="H38" s="9">
        <f t="shared" si="5"/>
        <v>0.05</v>
      </c>
    </row>
    <row r="40" spans="1:10" x14ac:dyDescent="0.3">
      <c r="A40" s="5" t="s">
        <v>23</v>
      </c>
      <c r="B40" s="5"/>
      <c r="C40" s="5"/>
      <c r="D40" s="5"/>
      <c r="E40" s="5"/>
      <c r="F40" s="5"/>
      <c r="G40" s="5"/>
      <c r="H40" s="5"/>
      <c r="I40" s="5"/>
      <c r="J40" s="5"/>
    </row>
    <row r="42" spans="1:10" x14ac:dyDescent="0.3">
      <c r="A42" s="2" t="s">
        <v>0</v>
      </c>
      <c r="B42" s="2" t="s">
        <v>1</v>
      </c>
      <c r="C42" s="2" t="s">
        <v>8</v>
      </c>
      <c r="D42" s="2" t="s">
        <v>9</v>
      </c>
      <c r="E42" s="2" t="s">
        <v>10</v>
      </c>
      <c r="F42" s="6" t="s">
        <v>16</v>
      </c>
      <c r="G42" s="6" t="s">
        <v>18</v>
      </c>
      <c r="H42" s="2" t="s">
        <v>21</v>
      </c>
      <c r="I42" s="12" t="s">
        <v>24</v>
      </c>
      <c r="J42" s="3" t="s">
        <v>22</v>
      </c>
    </row>
    <row r="43" spans="1:10" x14ac:dyDescent="0.3">
      <c r="A43" s="1">
        <v>101</v>
      </c>
      <c r="B43" s="1" t="s">
        <v>2</v>
      </c>
      <c r="C43" s="1">
        <v>120</v>
      </c>
      <c r="D43" s="1">
        <v>150</v>
      </c>
      <c r="E43" s="1" t="s">
        <v>11</v>
      </c>
      <c r="F43" s="7" t="str">
        <f>IF(C43&gt;=D43,"Yes","No")</f>
        <v>No</v>
      </c>
      <c r="G43" s="7" t="str">
        <f>IF(AND(E43="North",C43&gt;200),"Eligible","Not Eligible")</f>
        <v>Not Eligible</v>
      </c>
      <c r="H43" s="10">
        <f>IF(C43&gt;=200,10%,IF(C43&gt;=150,7%,5%))</f>
        <v>0.05</v>
      </c>
      <c r="I43" s="14">
        <f>C43*H43</f>
        <v>6</v>
      </c>
      <c r="J43" s="9">
        <f>IF(C43&gt;=D43,10%,5%)</f>
        <v>0.05</v>
      </c>
    </row>
    <row r="44" spans="1:10" x14ac:dyDescent="0.3">
      <c r="A44" s="1">
        <v>102</v>
      </c>
      <c r="B44" s="1" t="s">
        <v>3</v>
      </c>
      <c r="C44" s="1">
        <v>150</v>
      </c>
      <c r="D44" s="1">
        <v>140</v>
      </c>
      <c r="E44" s="1" t="s">
        <v>12</v>
      </c>
      <c r="F44" s="7" t="str">
        <f t="shared" ref="F44:F48" si="6">IF(C44&gt;=D44,"Yes","No")</f>
        <v>Yes</v>
      </c>
      <c r="G44" s="7" t="str">
        <f t="shared" ref="G44:G48" si="7">IF(AND(E44="North",C44&gt;200),"Eligible","Not Eligible")</f>
        <v>Not Eligible</v>
      </c>
      <c r="H44" s="10">
        <f t="shared" ref="H44:H48" si="8">IF(C44&gt;=200,10%,IF(C44&gt;=150,7%,5%))</f>
        <v>7.0000000000000007E-2</v>
      </c>
      <c r="I44" s="14">
        <f t="shared" ref="I44:I48" si="9">C44*H44</f>
        <v>10.500000000000002</v>
      </c>
      <c r="J44" s="9">
        <f t="shared" ref="J44:J48" si="10">IF(C44&gt;=D44,10%,5%)</f>
        <v>0.1</v>
      </c>
    </row>
    <row r="45" spans="1:10" x14ac:dyDescent="0.3">
      <c r="A45" s="1">
        <v>103</v>
      </c>
      <c r="B45" s="1" t="s">
        <v>4</v>
      </c>
      <c r="C45" s="1">
        <v>200</v>
      </c>
      <c r="D45" s="1">
        <v>200</v>
      </c>
      <c r="E45" s="1" t="s">
        <v>13</v>
      </c>
      <c r="F45" s="7" t="str">
        <f t="shared" si="6"/>
        <v>Yes</v>
      </c>
      <c r="G45" s="7" t="str">
        <f t="shared" si="7"/>
        <v>Not Eligible</v>
      </c>
      <c r="H45" s="10">
        <f t="shared" si="8"/>
        <v>0.1</v>
      </c>
      <c r="I45" s="14">
        <f t="shared" si="9"/>
        <v>20</v>
      </c>
      <c r="J45" s="9">
        <f t="shared" si="10"/>
        <v>0.1</v>
      </c>
    </row>
    <row r="46" spans="1:10" x14ac:dyDescent="0.3">
      <c r="A46" s="1">
        <v>104</v>
      </c>
      <c r="B46" s="1" t="s">
        <v>5</v>
      </c>
      <c r="C46" s="1">
        <v>90</v>
      </c>
      <c r="D46" s="1">
        <v>100</v>
      </c>
      <c r="E46" s="1" t="s">
        <v>14</v>
      </c>
      <c r="F46" s="7" t="str">
        <f t="shared" si="6"/>
        <v>No</v>
      </c>
      <c r="G46" s="7" t="str">
        <f t="shared" si="7"/>
        <v>Not Eligible</v>
      </c>
      <c r="H46" s="10">
        <f t="shared" si="8"/>
        <v>0.05</v>
      </c>
      <c r="I46" s="14">
        <f t="shared" si="9"/>
        <v>4.5</v>
      </c>
      <c r="J46" s="9">
        <f t="shared" si="10"/>
        <v>0.05</v>
      </c>
    </row>
    <row r="47" spans="1:10" x14ac:dyDescent="0.3">
      <c r="A47" s="1">
        <v>105</v>
      </c>
      <c r="B47" s="1" t="s">
        <v>6</v>
      </c>
      <c r="C47" s="1">
        <v>220</v>
      </c>
      <c r="D47" s="1">
        <v>210</v>
      </c>
      <c r="E47" s="1" t="s">
        <v>11</v>
      </c>
      <c r="F47" s="7" t="str">
        <f t="shared" si="6"/>
        <v>Yes</v>
      </c>
      <c r="G47" s="7" t="str">
        <f t="shared" si="7"/>
        <v>Eligible</v>
      </c>
      <c r="H47" s="10">
        <f t="shared" si="8"/>
        <v>0.1</v>
      </c>
      <c r="I47" s="14">
        <f t="shared" si="9"/>
        <v>22</v>
      </c>
      <c r="J47" s="9">
        <f t="shared" si="10"/>
        <v>0.1</v>
      </c>
    </row>
    <row r="48" spans="1:10" x14ac:dyDescent="0.3">
      <c r="A48" s="1">
        <v>106</v>
      </c>
      <c r="B48" s="1" t="s">
        <v>7</v>
      </c>
      <c r="C48" s="1">
        <v>130</v>
      </c>
      <c r="D48" s="1">
        <v>160</v>
      </c>
      <c r="E48" s="1" t="s">
        <v>12</v>
      </c>
      <c r="F48" s="7" t="str">
        <f t="shared" si="6"/>
        <v>No</v>
      </c>
      <c r="G48" s="7" t="str">
        <f t="shared" si="7"/>
        <v>Not Eligible</v>
      </c>
      <c r="H48" s="10">
        <f t="shared" si="8"/>
        <v>0.05</v>
      </c>
      <c r="I48" s="14">
        <f t="shared" si="9"/>
        <v>6.5</v>
      </c>
      <c r="J48" s="9">
        <f t="shared" si="10"/>
        <v>0.05</v>
      </c>
    </row>
    <row r="50" spans="1:12" x14ac:dyDescent="0.3">
      <c r="A50" s="5" t="s">
        <v>25</v>
      </c>
      <c r="B50" s="5"/>
      <c r="C50" s="5"/>
      <c r="D50" s="5"/>
      <c r="E50" s="5"/>
      <c r="F50" s="5"/>
      <c r="G50" s="5"/>
      <c r="H50" s="5"/>
      <c r="I50" s="5"/>
    </row>
    <row r="52" spans="1:12" x14ac:dyDescent="0.3">
      <c r="A52" s="2" t="s">
        <v>0</v>
      </c>
      <c r="B52" s="2" t="s">
        <v>1</v>
      </c>
      <c r="C52" s="2" t="s">
        <v>8</v>
      </c>
      <c r="D52" s="2" t="s">
        <v>9</v>
      </c>
      <c r="E52" s="2" t="s">
        <v>10</v>
      </c>
      <c r="F52" s="6" t="s">
        <v>16</v>
      </c>
      <c r="G52" s="6" t="s">
        <v>18</v>
      </c>
      <c r="H52" s="2" t="s">
        <v>21</v>
      </c>
      <c r="I52" s="6" t="s">
        <v>24</v>
      </c>
      <c r="J52" s="2" t="s">
        <v>22</v>
      </c>
      <c r="K52" s="3" t="s">
        <v>27</v>
      </c>
    </row>
    <row r="53" spans="1:12" x14ac:dyDescent="0.3">
      <c r="A53" s="1">
        <v>101</v>
      </c>
      <c r="B53" s="1" t="s">
        <v>2</v>
      </c>
      <c r="C53" s="1">
        <v>120</v>
      </c>
      <c r="D53" s="1">
        <v>150</v>
      </c>
      <c r="E53" s="1" t="s">
        <v>11</v>
      </c>
      <c r="F53" s="7" t="str">
        <f>IF(C53&gt;=D53,"Yes","No")</f>
        <v>No</v>
      </c>
      <c r="G53" s="7" t="str">
        <f>IF(AND(E53="North",C53&gt;200),"Eligible","Not Eligible")</f>
        <v>Not Eligible</v>
      </c>
      <c r="H53" s="10">
        <f>IF(C53&gt;=200,10%,IF(C53&gt;=150,7%,5%))</f>
        <v>0.05</v>
      </c>
      <c r="I53" s="13">
        <f>C53*H53</f>
        <v>6</v>
      </c>
      <c r="J53" s="10">
        <f>IF(C53&gt;=D53,10%,5%)</f>
        <v>0.05</v>
      </c>
      <c r="K53" s="11" t="str" cm="1">
        <f t="array" ref="K53">_xlfn.IFS(C53&gt;=200,"excellent",C53&gt;=150,"Good",C53&lt;150,"Needs Improvement")</f>
        <v>Needs Improvement</v>
      </c>
    </row>
    <row r="54" spans="1:12" x14ac:dyDescent="0.3">
      <c r="A54" s="1">
        <v>102</v>
      </c>
      <c r="B54" s="1" t="s">
        <v>3</v>
      </c>
      <c r="C54" s="1">
        <v>150</v>
      </c>
      <c r="D54" s="1">
        <v>140</v>
      </c>
      <c r="E54" s="1" t="s">
        <v>12</v>
      </c>
      <c r="F54" s="7" t="str">
        <f t="shared" ref="F54:F58" si="11">IF(C54&gt;=D54,"Yes","No")</f>
        <v>Yes</v>
      </c>
      <c r="G54" s="7" t="str">
        <f t="shared" ref="G54:G58" si="12">IF(AND(E54="North",C54&gt;200),"Eligible","Not Eligible")</f>
        <v>Not Eligible</v>
      </c>
      <c r="H54" s="10">
        <f t="shared" ref="H54:H58" si="13">IF(C54&gt;=200,10%,IF(C54&gt;=150,7%,5%))</f>
        <v>7.0000000000000007E-2</v>
      </c>
      <c r="I54" s="13">
        <f t="shared" ref="I54:I58" si="14">C54*H54</f>
        <v>10.500000000000002</v>
      </c>
      <c r="J54" s="10">
        <f t="shared" ref="J54:J58" si="15">IF(C54&gt;=D54,10%,5%)</f>
        <v>0.1</v>
      </c>
      <c r="K54" s="11" t="str" cm="1">
        <f t="array" ref="K54">_xlfn.IFS(C54&gt;=200,"excellent",C54&gt;=150,"Good",C54&lt;150,"Needs Improvement")</f>
        <v>Good</v>
      </c>
    </row>
    <row r="55" spans="1:12" x14ac:dyDescent="0.3">
      <c r="A55" s="1">
        <v>103</v>
      </c>
      <c r="B55" s="1" t="s">
        <v>4</v>
      </c>
      <c r="C55" s="1">
        <v>200</v>
      </c>
      <c r="D55" s="1">
        <v>200</v>
      </c>
      <c r="E55" s="1" t="s">
        <v>13</v>
      </c>
      <c r="F55" s="7" t="str">
        <f t="shared" si="11"/>
        <v>Yes</v>
      </c>
      <c r="G55" s="7" t="str">
        <f t="shared" si="12"/>
        <v>Not Eligible</v>
      </c>
      <c r="H55" s="10">
        <f t="shared" si="13"/>
        <v>0.1</v>
      </c>
      <c r="I55" s="13">
        <f t="shared" si="14"/>
        <v>20</v>
      </c>
      <c r="J55" s="10">
        <f t="shared" si="15"/>
        <v>0.1</v>
      </c>
      <c r="K55" s="11" t="str" cm="1">
        <f t="array" ref="K55">_xlfn.IFS(C55&gt;=200,"excellent",C55&gt;=150,"Good",C55&lt;150,"Needs Improvement")</f>
        <v>excellent</v>
      </c>
    </row>
    <row r="56" spans="1:12" x14ac:dyDescent="0.3">
      <c r="A56" s="1">
        <v>104</v>
      </c>
      <c r="B56" s="1" t="s">
        <v>5</v>
      </c>
      <c r="C56" s="1">
        <v>90</v>
      </c>
      <c r="D56" s="1">
        <v>100</v>
      </c>
      <c r="E56" s="1" t="s">
        <v>14</v>
      </c>
      <c r="F56" s="7" t="str">
        <f t="shared" si="11"/>
        <v>No</v>
      </c>
      <c r="G56" s="7" t="str">
        <f t="shared" si="12"/>
        <v>Not Eligible</v>
      </c>
      <c r="H56" s="10">
        <f t="shared" si="13"/>
        <v>0.05</v>
      </c>
      <c r="I56" s="13">
        <f t="shared" si="14"/>
        <v>4.5</v>
      </c>
      <c r="J56" s="10">
        <f t="shared" si="15"/>
        <v>0.05</v>
      </c>
      <c r="K56" s="11" t="str" cm="1">
        <f t="array" ref="K56">_xlfn.IFS(C56&gt;=200,"excellent",C56&gt;=150,"Good",C56&lt;150,"Needs Improvement")</f>
        <v>Needs Improvement</v>
      </c>
    </row>
    <row r="57" spans="1:12" x14ac:dyDescent="0.3">
      <c r="A57" s="1">
        <v>105</v>
      </c>
      <c r="B57" s="1" t="s">
        <v>6</v>
      </c>
      <c r="C57" s="1">
        <v>220</v>
      </c>
      <c r="D57" s="1">
        <v>210</v>
      </c>
      <c r="E57" s="1" t="s">
        <v>11</v>
      </c>
      <c r="F57" s="7" t="str">
        <f t="shared" si="11"/>
        <v>Yes</v>
      </c>
      <c r="G57" s="7" t="str">
        <f t="shared" si="12"/>
        <v>Eligible</v>
      </c>
      <c r="H57" s="10">
        <f t="shared" si="13"/>
        <v>0.1</v>
      </c>
      <c r="I57" s="13">
        <f t="shared" si="14"/>
        <v>22</v>
      </c>
      <c r="J57" s="10">
        <f t="shared" si="15"/>
        <v>0.1</v>
      </c>
      <c r="K57" s="11" t="str" cm="1">
        <f t="array" ref="K57">_xlfn.IFS(C57&gt;=200,"excellent",C57&gt;=150,"Good",C57&lt;150,"Needs Improvement")</f>
        <v>excellent</v>
      </c>
    </row>
    <row r="58" spans="1:12" x14ac:dyDescent="0.3">
      <c r="A58" s="1">
        <v>106</v>
      </c>
      <c r="B58" s="1" t="s">
        <v>7</v>
      </c>
      <c r="C58" s="1">
        <v>130</v>
      </c>
      <c r="D58" s="1">
        <v>160</v>
      </c>
      <c r="E58" s="1" t="s">
        <v>12</v>
      </c>
      <c r="F58" s="7" t="str">
        <f t="shared" si="11"/>
        <v>No</v>
      </c>
      <c r="G58" s="7" t="str">
        <f t="shared" si="12"/>
        <v>Not Eligible</v>
      </c>
      <c r="H58" s="10">
        <f t="shared" si="13"/>
        <v>0.05</v>
      </c>
      <c r="I58" s="13">
        <f t="shared" si="14"/>
        <v>6.5</v>
      </c>
      <c r="J58" s="10">
        <f t="shared" si="15"/>
        <v>0.05</v>
      </c>
      <c r="K58" s="11" t="str" cm="1">
        <f t="array" ref="K58">_xlfn.IFS(C58&gt;=200,"excellent",C58&gt;=150,"Good",C58&lt;150,"Needs Improvement")</f>
        <v>Needs Improvement</v>
      </c>
    </row>
    <row r="60" spans="1:12" x14ac:dyDescent="0.3">
      <c r="A60" s="5" t="s">
        <v>26</v>
      </c>
      <c r="B60" s="5"/>
      <c r="C60" s="5"/>
      <c r="D60" s="5"/>
      <c r="E60" s="5"/>
      <c r="F60" s="5"/>
      <c r="G60" s="5"/>
      <c r="H60" s="5"/>
      <c r="I60" s="5"/>
      <c r="J60" s="5"/>
      <c r="K60" s="5"/>
    </row>
    <row r="62" spans="1:12" x14ac:dyDescent="0.3">
      <c r="A62" s="2" t="s">
        <v>0</v>
      </c>
      <c r="B62" s="2" t="s">
        <v>1</v>
      </c>
      <c r="C62" s="2" t="s">
        <v>8</v>
      </c>
      <c r="D62" s="2" t="s">
        <v>9</v>
      </c>
      <c r="E62" s="2" t="s">
        <v>10</v>
      </c>
      <c r="F62" s="6" t="s">
        <v>16</v>
      </c>
      <c r="G62" s="6" t="s">
        <v>18</v>
      </c>
      <c r="H62" s="2" t="s">
        <v>21</v>
      </c>
      <c r="I62" s="6" t="s">
        <v>24</v>
      </c>
      <c r="J62" s="2" t="s">
        <v>22</v>
      </c>
      <c r="K62" s="6" t="s">
        <v>27</v>
      </c>
      <c r="L62" s="3" t="s">
        <v>28</v>
      </c>
    </row>
    <row r="63" spans="1:12" x14ac:dyDescent="0.3">
      <c r="A63" s="1">
        <v>101</v>
      </c>
      <c r="B63" s="1" t="s">
        <v>2</v>
      </c>
      <c r="C63" s="1">
        <v>120</v>
      </c>
      <c r="D63" s="1">
        <v>150</v>
      </c>
      <c r="E63" s="1" t="s">
        <v>11</v>
      </c>
      <c r="F63" s="7" t="str">
        <f>IF(C63&gt;=D63,"Yes","No")</f>
        <v>No</v>
      </c>
      <c r="G63" s="7" t="str">
        <f>IF(AND(E63="North",C63&gt;200),"Eligible","Not Eligible")</f>
        <v>Not Eligible</v>
      </c>
      <c r="H63" s="10">
        <f>IF(C63&gt;=200,10%,IF(C63&gt;=150,7%,5%))</f>
        <v>0.05</v>
      </c>
      <c r="I63" s="13">
        <f>C63*H63</f>
        <v>6</v>
      </c>
      <c r="J63" s="10">
        <f>IF(C63&gt;=D63,10%,5%)</f>
        <v>0.05</v>
      </c>
      <c r="K63" s="7" t="str" cm="1">
        <f t="array" ref="K63">_xlfn.IFS(C63&gt;=200,"excellent",C63&gt;=150,"Good",C63&lt;150,"Needs Improvement")</f>
        <v>Needs Improvement</v>
      </c>
      <c r="L63" s="11" t="str">
        <f>IF(C63&gt;200,"High",IF(C63&gt;=100,"Medium","Low"))</f>
        <v>Medium</v>
      </c>
    </row>
    <row r="64" spans="1:12" x14ac:dyDescent="0.3">
      <c r="A64" s="1">
        <v>102</v>
      </c>
      <c r="B64" s="1" t="s">
        <v>3</v>
      </c>
      <c r="C64" s="1">
        <v>150</v>
      </c>
      <c r="D64" s="1">
        <v>140</v>
      </c>
      <c r="E64" s="1" t="s">
        <v>12</v>
      </c>
      <c r="F64" s="7" t="str">
        <f t="shared" ref="F64:F68" si="16">IF(C64&gt;=D64,"Yes","No")</f>
        <v>Yes</v>
      </c>
      <c r="G64" s="7" t="str">
        <f t="shared" ref="G64:G68" si="17">IF(AND(E64="North",C64&gt;200),"Eligible","Not Eligible")</f>
        <v>Not Eligible</v>
      </c>
      <c r="H64" s="10">
        <f t="shared" ref="H64:H68" si="18">IF(C64&gt;=200,10%,IF(C64&gt;=150,7%,5%))</f>
        <v>7.0000000000000007E-2</v>
      </c>
      <c r="I64" s="13">
        <f t="shared" ref="I64:I68" si="19">C64*H64</f>
        <v>10.500000000000002</v>
      </c>
      <c r="J64" s="10">
        <f t="shared" ref="J64:J68" si="20">IF(C64&gt;=D64,10%,5%)</f>
        <v>0.1</v>
      </c>
      <c r="K64" s="7" t="str" cm="1">
        <f t="array" ref="K64">_xlfn.IFS(C64&gt;=200,"excellent",C64&gt;=150,"Good",C64&lt;150,"Needs Improvement")</f>
        <v>Good</v>
      </c>
      <c r="L64" s="11" t="str">
        <f t="shared" ref="L64:L68" si="21">IF(C64&gt;200,"High",IF(C64&gt;=100,"Medium","Low"))</f>
        <v>Medium</v>
      </c>
    </row>
    <row r="65" spans="1:13" x14ac:dyDescent="0.3">
      <c r="A65" s="1">
        <v>103</v>
      </c>
      <c r="B65" s="1" t="s">
        <v>4</v>
      </c>
      <c r="C65" s="1">
        <v>200</v>
      </c>
      <c r="D65" s="1">
        <v>200</v>
      </c>
      <c r="E65" s="1" t="s">
        <v>13</v>
      </c>
      <c r="F65" s="7" t="str">
        <f t="shared" si="16"/>
        <v>Yes</v>
      </c>
      <c r="G65" s="7" t="str">
        <f t="shared" si="17"/>
        <v>Not Eligible</v>
      </c>
      <c r="H65" s="10">
        <f t="shared" si="18"/>
        <v>0.1</v>
      </c>
      <c r="I65" s="13">
        <f t="shared" si="19"/>
        <v>20</v>
      </c>
      <c r="J65" s="10">
        <f t="shared" si="20"/>
        <v>0.1</v>
      </c>
      <c r="K65" s="7" t="str" cm="1">
        <f t="array" ref="K65">_xlfn.IFS(C65&gt;=200,"excellent",C65&gt;=150,"Good",C65&lt;150,"Needs Improvement")</f>
        <v>excellent</v>
      </c>
      <c r="L65" s="11" t="str">
        <f t="shared" si="21"/>
        <v>Medium</v>
      </c>
    </row>
    <row r="66" spans="1:13" x14ac:dyDescent="0.3">
      <c r="A66" s="1">
        <v>104</v>
      </c>
      <c r="B66" s="1" t="s">
        <v>5</v>
      </c>
      <c r="C66" s="1">
        <v>90</v>
      </c>
      <c r="D66" s="1">
        <v>100</v>
      </c>
      <c r="E66" s="1" t="s">
        <v>14</v>
      </c>
      <c r="F66" s="7" t="str">
        <f t="shared" si="16"/>
        <v>No</v>
      </c>
      <c r="G66" s="7" t="str">
        <f t="shared" si="17"/>
        <v>Not Eligible</v>
      </c>
      <c r="H66" s="10">
        <f t="shared" si="18"/>
        <v>0.05</v>
      </c>
      <c r="I66" s="13">
        <f t="shared" si="19"/>
        <v>4.5</v>
      </c>
      <c r="J66" s="10">
        <f t="shared" si="20"/>
        <v>0.05</v>
      </c>
      <c r="K66" s="7" t="str" cm="1">
        <f t="array" ref="K66">_xlfn.IFS(C66&gt;=200,"excellent",C66&gt;=150,"Good",C66&lt;150,"Needs Improvement")</f>
        <v>Needs Improvement</v>
      </c>
      <c r="L66" s="11" t="str">
        <f t="shared" si="21"/>
        <v>Low</v>
      </c>
    </row>
    <row r="67" spans="1:13" x14ac:dyDescent="0.3">
      <c r="A67" s="1">
        <v>105</v>
      </c>
      <c r="B67" s="1" t="s">
        <v>6</v>
      </c>
      <c r="C67" s="1">
        <v>220</v>
      </c>
      <c r="D67" s="1">
        <v>210</v>
      </c>
      <c r="E67" s="1" t="s">
        <v>11</v>
      </c>
      <c r="F67" s="7" t="str">
        <f t="shared" si="16"/>
        <v>Yes</v>
      </c>
      <c r="G67" s="7" t="str">
        <f t="shared" si="17"/>
        <v>Eligible</v>
      </c>
      <c r="H67" s="10">
        <f t="shared" si="18"/>
        <v>0.1</v>
      </c>
      <c r="I67" s="13">
        <f t="shared" si="19"/>
        <v>22</v>
      </c>
      <c r="J67" s="10">
        <f t="shared" si="20"/>
        <v>0.1</v>
      </c>
      <c r="K67" s="7" t="str" cm="1">
        <f t="array" ref="K67">_xlfn.IFS(C67&gt;=200,"excellent",C67&gt;=150,"Good",C67&lt;150,"Needs Improvement")</f>
        <v>excellent</v>
      </c>
      <c r="L67" s="11" t="str">
        <f t="shared" si="21"/>
        <v>High</v>
      </c>
    </row>
    <row r="68" spans="1:13" x14ac:dyDescent="0.3">
      <c r="A68" s="1">
        <v>106</v>
      </c>
      <c r="B68" s="1" t="s">
        <v>7</v>
      </c>
      <c r="C68" s="1">
        <v>130</v>
      </c>
      <c r="D68" s="1">
        <v>160</v>
      </c>
      <c r="E68" s="1" t="s">
        <v>12</v>
      </c>
      <c r="F68" s="7" t="str">
        <f t="shared" si="16"/>
        <v>No</v>
      </c>
      <c r="G68" s="7" t="str">
        <f t="shared" si="17"/>
        <v>Not Eligible</v>
      </c>
      <c r="H68" s="10">
        <f t="shared" si="18"/>
        <v>0.05</v>
      </c>
      <c r="I68" s="13">
        <f t="shared" si="19"/>
        <v>6.5</v>
      </c>
      <c r="J68" s="10">
        <f t="shared" si="20"/>
        <v>0.05</v>
      </c>
      <c r="K68" s="7" t="str" cm="1">
        <f t="array" ref="K68">_xlfn.IFS(C68&gt;=200,"excellent",C68&gt;=150,"Good",C68&lt;150,"Needs Improvement")</f>
        <v>Needs Improvement</v>
      </c>
      <c r="L68" s="11" t="str">
        <f t="shared" si="21"/>
        <v>Medium</v>
      </c>
    </row>
    <row r="70" spans="1:13" x14ac:dyDescent="0.3">
      <c r="A70" s="5" t="s">
        <v>29</v>
      </c>
      <c r="B70" s="5"/>
      <c r="C70" s="5"/>
      <c r="D70" s="5"/>
      <c r="E70" s="5"/>
      <c r="F70" s="5"/>
      <c r="G70" s="5"/>
      <c r="H70" s="5"/>
      <c r="I70" s="5"/>
    </row>
    <row r="72" spans="1:13" x14ac:dyDescent="0.3">
      <c r="A72" s="2" t="s">
        <v>0</v>
      </c>
      <c r="B72" s="2" t="s">
        <v>1</v>
      </c>
      <c r="C72" s="2" t="s">
        <v>8</v>
      </c>
      <c r="D72" s="2" t="s">
        <v>9</v>
      </c>
      <c r="E72" s="2" t="s">
        <v>10</v>
      </c>
      <c r="F72" s="6" t="s">
        <v>16</v>
      </c>
      <c r="G72" s="6" t="s">
        <v>18</v>
      </c>
      <c r="H72" s="2" t="s">
        <v>21</v>
      </c>
      <c r="I72" s="6" t="s">
        <v>24</v>
      </c>
      <c r="J72" s="2" t="s">
        <v>22</v>
      </c>
      <c r="K72" s="6" t="s">
        <v>27</v>
      </c>
      <c r="L72" s="6" t="s">
        <v>28</v>
      </c>
      <c r="M72" s="3" t="s">
        <v>30</v>
      </c>
    </row>
    <row r="73" spans="1:13" x14ac:dyDescent="0.3">
      <c r="A73" s="1">
        <v>101</v>
      </c>
      <c r="B73" s="1" t="s">
        <v>2</v>
      </c>
      <c r="C73" s="1">
        <v>120</v>
      </c>
      <c r="D73" s="1">
        <v>150</v>
      </c>
      <c r="E73" s="1" t="s">
        <v>11</v>
      </c>
      <c r="F73" s="7" t="str">
        <f>IF(C73&gt;=D73,"Yes","No")</f>
        <v>No</v>
      </c>
      <c r="G73" s="7" t="str">
        <f>IF(AND(E73="North",C73&gt;200),"Eligible","Not Eligible")</f>
        <v>Not Eligible</v>
      </c>
      <c r="H73" s="10">
        <f>IF(C73&gt;=200,10%,IF(C73&gt;=150,7%,5%))</f>
        <v>0.05</v>
      </c>
      <c r="I73" s="13">
        <f>C73*H73</f>
        <v>6</v>
      </c>
      <c r="J73" s="10">
        <f>IF(C73&gt;=D73,10%,5%)</f>
        <v>0.05</v>
      </c>
      <c r="K73" s="7" t="str" cm="1">
        <f t="array" ref="K73">_xlfn.IFS(C73&gt;=200,"excellent",C73&gt;=150,"Good",C73&lt;150,"Needs Improvement")</f>
        <v>Needs Improvement</v>
      </c>
      <c r="L73" s="7" t="str">
        <f>IF(C73&gt;200,"High",IF(C73&gt;=100,"Medium","Low"))</f>
        <v>Medium</v>
      </c>
      <c r="M73" s="11" t="str">
        <f>IF(AND(C73&gt;=150,E73="North"),"$500","$300")</f>
        <v>$300</v>
      </c>
    </row>
    <row r="74" spans="1:13" x14ac:dyDescent="0.3">
      <c r="A74" s="1">
        <v>102</v>
      </c>
      <c r="B74" s="1" t="s">
        <v>3</v>
      </c>
      <c r="C74" s="1">
        <v>150</v>
      </c>
      <c r="D74" s="1">
        <v>140</v>
      </c>
      <c r="E74" s="1" t="s">
        <v>12</v>
      </c>
      <c r="F74" s="7" t="str">
        <f t="shared" ref="F74:F78" si="22">IF(C74&gt;=D74,"Yes","No")</f>
        <v>Yes</v>
      </c>
      <c r="G74" s="7" t="str">
        <f t="shared" ref="G74:G78" si="23">IF(AND(E74="North",C74&gt;200),"Eligible","Not Eligible")</f>
        <v>Not Eligible</v>
      </c>
      <c r="H74" s="10">
        <f t="shared" ref="H74:H78" si="24">IF(C74&gt;=200,10%,IF(C74&gt;=150,7%,5%))</f>
        <v>7.0000000000000007E-2</v>
      </c>
      <c r="I74" s="13">
        <f t="shared" ref="I74:I78" si="25">C74*H74</f>
        <v>10.500000000000002</v>
      </c>
      <c r="J74" s="10">
        <f t="shared" ref="J74:J78" si="26">IF(C74&gt;=D74,10%,5%)</f>
        <v>0.1</v>
      </c>
      <c r="K74" s="7" t="str" cm="1">
        <f t="array" ref="K74">_xlfn.IFS(C74&gt;=200,"excellent",C74&gt;=150,"Good",C74&lt;150,"Needs Improvement")</f>
        <v>Good</v>
      </c>
      <c r="L74" s="7" t="str">
        <f t="shared" ref="L74:L78" si="27">IF(C74&gt;200,"High",IF(C74&gt;=100,"Medium","Low"))</f>
        <v>Medium</v>
      </c>
      <c r="M74" s="11" t="str">
        <f t="shared" ref="M74:M78" si="28">IF(AND(C74&gt;=150,E74="North"),"$500","$300")</f>
        <v>$300</v>
      </c>
    </row>
    <row r="75" spans="1:13" x14ac:dyDescent="0.3">
      <c r="A75" s="1">
        <v>103</v>
      </c>
      <c r="B75" s="1" t="s">
        <v>4</v>
      </c>
      <c r="C75" s="1">
        <v>200</v>
      </c>
      <c r="D75" s="1">
        <v>200</v>
      </c>
      <c r="E75" s="1" t="s">
        <v>13</v>
      </c>
      <c r="F75" s="7" t="str">
        <f t="shared" si="22"/>
        <v>Yes</v>
      </c>
      <c r="G75" s="7" t="str">
        <f t="shared" si="23"/>
        <v>Not Eligible</v>
      </c>
      <c r="H75" s="10">
        <f t="shared" si="24"/>
        <v>0.1</v>
      </c>
      <c r="I75" s="13">
        <f t="shared" si="25"/>
        <v>20</v>
      </c>
      <c r="J75" s="10">
        <f t="shared" si="26"/>
        <v>0.1</v>
      </c>
      <c r="K75" s="7" t="str" cm="1">
        <f t="array" ref="K75">_xlfn.IFS(C75&gt;=200,"excellent",C75&gt;=150,"Good",C75&lt;150,"Needs Improvement")</f>
        <v>excellent</v>
      </c>
      <c r="L75" s="7" t="str">
        <f t="shared" si="27"/>
        <v>Medium</v>
      </c>
      <c r="M75" s="11" t="str">
        <f t="shared" si="28"/>
        <v>$300</v>
      </c>
    </row>
    <row r="76" spans="1:13" x14ac:dyDescent="0.3">
      <c r="A76" s="1">
        <v>104</v>
      </c>
      <c r="B76" s="1" t="s">
        <v>5</v>
      </c>
      <c r="C76" s="1">
        <v>90</v>
      </c>
      <c r="D76" s="1">
        <v>100</v>
      </c>
      <c r="E76" s="1" t="s">
        <v>14</v>
      </c>
      <c r="F76" s="7" t="str">
        <f t="shared" si="22"/>
        <v>No</v>
      </c>
      <c r="G76" s="7" t="str">
        <f t="shared" si="23"/>
        <v>Not Eligible</v>
      </c>
      <c r="H76" s="10">
        <f t="shared" si="24"/>
        <v>0.05</v>
      </c>
      <c r="I76" s="13">
        <f t="shared" si="25"/>
        <v>4.5</v>
      </c>
      <c r="J76" s="10">
        <f t="shared" si="26"/>
        <v>0.05</v>
      </c>
      <c r="K76" s="7" t="str" cm="1">
        <f t="array" ref="K76">_xlfn.IFS(C76&gt;=200,"excellent",C76&gt;=150,"Good",C76&lt;150,"Needs Improvement")</f>
        <v>Needs Improvement</v>
      </c>
      <c r="L76" s="7" t="str">
        <f t="shared" si="27"/>
        <v>Low</v>
      </c>
      <c r="M76" s="11" t="str">
        <f t="shared" si="28"/>
        <v>$300</v>
      </c>
    </row>
    <row r="77" spans="1:13" x14ac:dyDescent="0.3">
      <c r="A77" s="1">
        <v>105</v>
      </c>
      <c r="B77" s="1" t="s">
        <v>6</v>
      </c>
      <c r="C77" s="1">
        <v>220</v>
      </c>
      <c r="D77" s="1">
        <v>210</v>
      </c>
      <c r="E77" s="1" t="s">
        <v>11</v>
      </c>
      <c r="F77" s="7" t="str">
        <f t="shared" si="22"/>
        <v>Yes</v>
      </c>
      <c r="G77" s="7" t="str">
        <f t="shared" si="23"/>
        <v>Eligible</v>
      </c>
      <c r="H77" s="10">
        <f t="shared" si="24"/>
        <v>0.1</v>
      </c>
      <c r="I77" s="13">
        <f t="shared" si="25"/>
        <v>22</v>
      </c>
      <c r="J77" s="10">
        <f t="shared" si="26"/>
        <v>0.1</v>
      </c>
      <c r="K77" s="7" t="str" cm="1">
        <f t="array" ref="K77">_xlfn.IFS(C77&gt;=200,"excellent",C77&gt;=150,"Good",C77&lt;150,"Needs Improvement")</f>
        <v>excellent</v>
      </c>
      <c r="L77" s="7" t="str">
        <f t="shared" si="27"/>
        <v>High</v>
      </c>
      <c r="M77" s="11" t="str">
        <f t="shared" si="28"/>
        <v>$500</v>
      </c>
    </row>
    <row r="78" spans="1:13" x14ac:dyDescent="0.3">
      <c r="A78" s="1">
        <v>106</v>
      </c>
      <c r="B78" s="1" t="s">
        <v>7</v>
      </c>
      <c r="C78" s="1">
        <v>130</v>
      </c>
      <c r="D78" s="1">
        <v>160</v>
      </c>
      <c r="E78" s="1" t="s">
        <v>12</v>
      </c>
      <c r="F78" s="7" t="str">
        <f t="shared" si="22"/>
        <v>No</v>
      </c>
      <c r="G78" s="7" t="str">
        <f t="shared" si="23"/>
        <v>Not Eligible</v>
      </c>
      <c r="H78" s="10">
        <f t="shared" si="24"/>
        <v>0.05</v>
      </c>
      <c r="I78" s="13">
        <f t="shared" si="25"/>
        <v>6.5</v>
      </c>
      <c r="J78" s="10">
        <f t="shared" si="26"/>
        <v>0.05</v>
      </c>
      <c r="K78" s="7" t="str" cm="1">
        <f t="array" ref="K78">_xlfn.IFS(C78&gt;=200,"excellent",C78&gt;=150,"Good",C78&lt;150,"Needs Improvement")</f>
        <v>Needs Improvement</v>
      </c>
      <c r="L78" s="7" t="str">
        <f t="shared" si="27"/>
        <v>Medium</v>
      </c>
      <c r="M78" s="11" t="str">
        <f t="shared" si="28"/>
        <v>$300</v>
      </c>
    </row>
    <row r="80" spans="1:13" x14ac:dyDescent="0.3">
      <c r="A80" s="5" t="s">
        <v>31</v>
      </c>
      <c r="B80" s="5"/>
      <c r="C80" s="5"/>
      <c r="D80" s="5"/>
      <c r="E80" s="5"/>
      <c r="F80" s="5"/>
      <c r="G80" s="5"/>
      <c r="H80" s="5"/>
      <c r="I80" s="5"/>
    </row>
    <row r="82" spans="1:14" x14ac:dyDescent="0.3">
      <c r="A82" s="2" t="s">
        <v>0</v>
      </c>
      <c r="B82" s="2" t="s">
        <v>1</v>
      </c>
      <c r="C82" s="2" t="s">
        <v>8</v>
      </c>
      <c r="D82" s="2" t="s">
        <v>9</v>
      </c>
      <c r="E82" s="2" t="s">
        <v>10</v>
      </c>
      <c r="F82" s="6" t="s">
        <v>16</v>
      </c>
      <c r="G82" s="6" t="s">
        <v>18</v>
      </c>
      <c r="H82" s="2" t="s">
        <v>21</v>
      </c>
      <c r="I82" s="6" t="s">
        <v>24</v>
      </c>
      <c r="J82" s="2" t="s">
        <v>22</v>
      </c>
      <c r="K82" s="6" t="s">
        <v>27</v>
      </c>
      <c r="L82" s="6" t="s">
        <v>28</v>
      </c>
      <c r="M82" s="6" t="s">
        <v>30</v>
      </c>
      <c r="N82" s="3" t="s">
        <v>32</v>
      </c>
    </row>
    <row r="83" spans="1:14" x14ac:dyDescent="0.3">
      <c r="A83" s="1">
        <v>101</v>
      </c>
      <c r="B83" s="1" t="s">
        <v>2</v>
      </c>
      <c r="C83" s="1">
        <v>120</v>
      </c>
      <c r="D83" s="1">
        <v>150</v>
      </c>
      <c r="E83" s="1" t="s">
        <v>11</v>
      </c>
      <c r="F83" s="7" t="str">
        <f>IF(C83&gt;=D83,"Yes","No")</f>
        <v>No</v>
      </c>
      <c r="G83" s="7" t="str">
        <f>IF(AND(E83="North",C83&gt;200),"Eligible","Not Eligible")</f>
        <v>Not Eligible</v>
      </c>
      <c r="H83" s="10">
        <f>IF(C83&gt;=200,10%,IF(C83&gt;=150,7%,5%))</f>
        <v>0.05</v>
      </c>
      <c r="I83" s="13">
        <f>C83*H83</f>
        <v>6</v>
      </c>
      <c r="J83" s="10">
        <f>IF(C83&gt;=D83,10%,5%)</f>
        <v>0.05</v>
      </c>
      <c r="K83" s="7" t="str" cm="1">
        <f t="array" ref="K83">_xlfn.IFS(C83&gt;=200,"excellent",C83&gt;=150,"Good",C83&lt;150,"Needs Improvement")</f>
        <v>Needs Improvement</v>
      </c>
      <c r="L83" s="7" t="str">
        <f>IF(C83&gt;200,"High",IF(C83&gt;=100,"Medium","Low"))</f>
        <v>Medium</v>
      </c>
      <c r="M83" s="7" t="str">
        <f>IF(AND(C83&gt;=150,E83="North"),"$500","$300")</f>
        <v>$300</v>
      </c>
      <c r="N83" s="11" t="str">
        <f>IF(C83&gt;=_xlfn.PERCENTILE.INC($C$83:$C$88,0.75),"High Performer","Low Performer")</f>
        <v>Low Performer</v>
      </c>
    </row>
    <row r="84" spans="1:14" x14ac:dyDescent="0.3">
      <c r="A84" s="1">
        <v>102</v>
      </c>
      <c r="B84" s="1" t="s">
        <v>3</v>
      </c>
      <c r="C84" s="1">
        <v>150</v>
      </c>
      <c r="D84" s="1">
        <v>140</v>
      </c>
      <c r="E84" s="1" t="s">
        <v>12</v>
      </c>
      <c r="F84" s="7" t="str">
        <f t="shared" ref="F84:F88" si="29">IF(C84&gt;=D84,"Yes","No")</f>
        <v>Yes</v>
      </c>
      <c r="G84" s="7" t="str">
        <f t="shared" ref="G84:G88" si="30">IF(AND(E84="North",C84&gt;200),"Eligible","Not Eligible")</f>
        <v>Not Eligible</v>
      </c>
      <c r="H84" s="10">
        <f t="shared" ref="H84:H88" si="31">IF(C84&gt;=200,10%,IF(C84&gt;=150,7%,5%))</f>
        <v>7.0000000000000007E-2</v>
      </c>
      <c r="I84" s="13">
        <f t="shared" ref="I84:I88" si="32">C84*H84</f>
        <v>10.500000000000002</v>
      </c>
      <c r="J84" s="10">
        <f t="shared" ref="J84:J88" si="33">IF(C84&gt;=D84,10%,5%)</f>
        <v>0.1</v>
      </c>
      <c r="K84" s="7" t="str" cm="1">
        <f t="array" ref="K84">_xlfn.IFS(C84&gt;=200,"excellent",C84&gt;=150,"Good",C84&lt;150,"Needs Improvement")</f>
        <v>Good</v>
      </c>
      <c r="L84" s="7" t="str">
        <f t="shared" ref="L84:L88" si="34">IF(C84&gt;200,"High",IF(C84&gt;=100,"Medium","Low"))</f>
        <v>Medium</v>
      </c>
      <c r="M84" s="7" t="str">
        <f t="shared" ref="M84:M88" si="35">IF(AND(C84&gt;=150,E84="North"),"$500","$300")</f>
        <v>$300</v>
      </c>
      <c r="N84" s="11" t="str">
        <f t="shared" ref="N84:N88" si="36">IF(C84&gt;=_xlfn.PERCENTILE.INC($C$83:$C$88,0.75),"High Performer","Low Performer")</f>
        <v>Low Performer</v>
      </c>
    </row>
    <row r="85" spans="1:14" x14ac:dyDescent="0.3">
      <c r="A85" s="1">
        <v>103</v>
      </c>
      <c r="B85" s="1" t="s">
        <v>4</v>
      </c>
      <c r="C85" s="1">
        <v>200</v>
      </c>
      <c r="D85" s="1">
        <v>200</v>
      </c>
      <c r="E85" s="1" t="s">
        <v>13</v>
      </c>
      <c r="F85" s="7" t="str">
        <f t="shared" si="29"/>
        <v>Yes</v>
      </c>
      <c r="G85" s="7" t="str">
        <f t="shared" si="30"/>
        <v>Not Eligible</v>
      </c>
      <c r="H85" s="10">
        <f t="shared" si="31"/>
        <v>0.1</v>
      </c>
      <c r="I85" s="13">
        <f t="shared" si="32"/>
        <v>20</v>
      </c>
      <c r="J85" s="10">
        <f t="shared" si="33"/>
        <v>0.1</v>
      </c>
      <c r="K85" s="7" t="str" cm="1">
        <f t="array" ref="K85">_xlfn.IFS(C85&gt;=200,"excellent",C85&gt;=150,"Good",C85&lt;150,"Needs Improvement")</f>
        <v>excellent</v>
      </c>
      <c r="L85" s="7" t="str">
        <f t="shared" si="34"/>
        <v>Medium</v>
      </c>
      <c r="M85" s="7" t="str">
        <f t="shared" si="35"/>
        <v>$300</v>
      </c>
      <c r="N85" s="11" t="str">
        <f t="shared" si="36"/>
        <v>High Performer</v>
      </c>
    </row>
    <row r="86" spans="1:14" x14ac:dyDescent="0.3">
      <c r="A86" s="1">
        <v>104</v>
      </c>
      <c r="B86" s="1" t="s">
        <v>5</v>
      </c>
      <c r="C86" s="1">
        <v>90</v>
      </c>
      <c r="D86" s="1">
        <v>100</v>
      </c>
      <c r="E86" s="1" t="s">
        <v>14</v>
      </c>
      <c r="F86" s="7" t="str">
        <f t="shared" si="29"/>
        <v>No</v>
      </c>
      <c r="G86" s="7" t="str">
        <f t="shared" si="30"/>
        <v>Not Eligible</v>
      </c>
      <c r="H86" s="10">
        <f t="shared" si="31"/>
        <v>0.05</v>
      </c>
      <c r="I86" s="13">
        <f t="shared" si="32"/>
        <v>4.5</v>
      </c>
      <c r="J86" s="10">
        <f t="shared" si="33"/>
        <v>0.05</v>
      </c>
      <c r="K86" s="7" t="str" cm="1">
        <f t="array" ref="K86">_xlfn.IFS(C86&gt;=200,"excellent",C86&gt;=150,"Good",C86&lt;150,"Needs Improvement")</f>
        <v>Needs Improvement</v>
      </c>
      <c r="L86" s="7" t="str">
        <f t="shared" si="34"/>
        <v>Low</v>
      </c>
      <c r="M86" s="7" t="str">
        <f t="shared" si="35"/>
        <v>$300</v>
      </c>
      <c r="N86" s="11" t="str">
        <f t="shared" si="36"/>
        <v>Low Performer</v>
      </c>
    </row>
    <row r="87" spans="1:14" x14ac:dyDescent="0.3">
      <c r="A87" s="1">
        <v>105</v>
      </c>
      <c r="B87" s="1" t="s">
        <v>6</v>
      </c>
      <c r="C87" s="1">
        <v>220</v>
      </c>
      <c r="D87" s="1">
        <v>210</v>
      </c>
      <c r="E87" s="1" t="s">
        <v>11</v>
      </c>
      <c r="F87" s="7" t="str">
        <f t="shared" si="29"/>
        <v>Yes</v>
      </c>
      <c r="G87" s="7" t="str">
        <f t="shared" si="30"/>
        <v>Eligible</v>
      </c>
      <c r="H87" s="10">
        <f t="shared" si="31"/>
        <v>0.1</v>
      </c>
      <c r="I87" s="13">
        <f t="shared" si="32"/>
        <v>22</v>
      </c>
      <c r="J87" s="10">
        <f t="shared" si="33"/>
        <v>0.1</v>
      </c>
      <c r="K87" s="7" t="str" cm="1">
        <f t="array" ref="K87">_xlfn.IFS(C87&gt;=200,"excellent",C87&gt;=150,"Good",C87&lt;150,"Needs Improvement")</f>
        <v>excellent</v>
      </c>
      <c r="L87" s="7" t="str">
        <f t="shared" si="34"/>
        <v>High</v>
      </c>
      <c r="M87" s="7" t="str">
        <f t="shared" si="35"/>
        <v>$500</v>
      </c>
      <c r="N87" s="11" t="str">
        <f t="shared" si="36"/>
        <v>High Performer</v>
      </c>
    </row>
    <row r="88" spans="1:14" x14ac:dyDescent="0.3">
      <c r="A88" s="1">
        <v>106</v>
      </c>
      <c r="B88" s="1" t="s">
        <v>7</v>
      </c>
      <c r="C88" s="1">
        <v>130</v>
      </c>
      <c r="D88" s="1">
        <v>160</v>
      </c>
      <c r="E88" s="1" t="s">
        <v>12</v>
      </c>
      <c r="F88" s="7" t="str">
        <f t="shared" si="29"/>
        <v>No</v>
      </c>
      <c r="G88" s="7" t="str">
        <f t="shared" si="30"/>
        <v>Not Eligible</v>
      </c>
      <c r="H88" s="10">
        <f t="shared" si="31"/>
        <v>0.05</v>
      </c>
      <c r="I88" s="13">
        <f t="shared" si="32"/>
        <v>6.5</v>
      </c>
      <c r="J88" s="10">
        <f t="shared" si="33"/>
        <v>0.05</v>
      </c>
      <c r="K88" s="7" t="str" cm="1">
        <f t="array" ref="K88">_xlfn.IFS(C88&gt;=200,"excellent",C88&gt;=150,"Good",C88&lt;150,"Needs Improvement")</f>
        <v>Needs Improvement</v>
      </c>
      <c r="L88" s="7" t="str">
        <f t="shared" si="34"/>
        <v>Medium</v>
      </c>
      <c r="M88" s="7" t="str">
        <f t="shared" si="35"/>
        <v>$300</v>
      </c>
      <c r="N88" s="11" t="str">
        <f t="shared" si="36"/>
        <v>Low Performer</v>
      </c>
    </row>
  </sheetData>
  <mergeCells count="4">
    <mergeCell ref="A1:E1"/>
    <mergeCell ref="H2:I2"/>
    <mergeCell ref="H3:I3"/>
    <mergeCell ref="H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Assigment-2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DEBKANTA NANDI</dc:creator>
  <cp:lastModifiedBy>DEBKANTA NANDI</cp:lastModifiedBy>
  <dcterms:created xsi:type="dcterms:W3CDTF">2026-02-24T06:20:25Z</dcterms:created>
  <dcterms:modified xsi:type="dcterms:W3CDTF">2026-02-25T23:48:12Z</dcterms:modified>
</cp:coreProperties>
</file>