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PDebkanta\ANUDIP\EXCEL\Excel Lab assignment\"/>
    </mc:Choice>
  </mc:AlternateContent>
  <xr:revisionPtr revIDLastSave="0" documentId="13_ncr:1_{FA6FCB03-091E-4EA9-B30B-EB295C8E4BAD}" xr6:coauthVersionLast="47" xr6:coauthVersionMax="47" xr10:uidLastSave="{00000000-0000-0000-0000-000000000000}"/>
  <bookViews>
    <workbookView xWindow="-108" yWindow="-108" windowWidth="23256" windowHeight="12456" xr2:uid="{EF03B8EC-9B41-457D-9817-836F1CB3338E}"/>
  </bookViews>
  <sheets>
    <sheet name="Product worksheet-VLookUp" sheetId="1" r:id="rId1"/>
    <sheet name="Order Worksheet-VLookUp" sheetId="2" r:id="rId2"/>
    <sheet name="Worksheet-H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B26" i="2"/>
  <c r="B27" i="2"/>
  <c r="B28" i="2"/>
  <c r="B29" i="2"/>
  <c r="B30" i="2"/>
  <c r="B25" i="2"/>
  <c r="F16" i="2"/>
  <c r="F17" i="2"/>
  <c r="F18" i="2"/>
  <c r="F19" i="2"/>
  <c r="E15" i="2"/>
  <c r="F15" i="2" s="1"/>
  <c r="E16" i="2"/>
  <c r="E17" i="2"/>
  <c r="E18" i="2"/>
  <c r="E19" i="2"/>
  <c r="E14" i="2"/>
  <c r="F14" i="2" s="1"/>
  <c r="F20" i="2" s="1"/>
  <c r="D15" i="2"/>
  <c r="D16" i="2"/>
  <c r="D17" i="2"/>
  <c r="D18" i="2"/>
  <c r="D19" i="2"/>
  <c r="D14" i="2"/>
</calcChain>
</file>

<file path=xl/sharedStrings.xml><?xml version="1.0" encoding="utf-8"?>
<sst xmlns="http://schemas.openxmlformats.org/spreadsheetml/2006/main" count="50" uniqueCount="32">
  <si>
    <t xml:space="preserve"> Advance VlookUp and HLookUp</t>
  </si>
  <si>
    <t>Worksheet 1: Products</t>
  </si>
  <si>
    <t>ProductID</t>
  </si>
  <si>
    <t>Product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</si>
  <si>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</si>
  <si>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</si>
  <si>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</si>
  <si>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</si>
  <si>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</si>
  <si>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</si>
  <si>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</si>
  <si>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</si>
  <si>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</si>
  <si>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</si>
  <si>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</si>
  <si>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Worksheet 2: Orders</t>
  </si>
  <si>
    <t>OrderID</t>
  </si>
  <si>
    <t>Quantity</t>
  </si>
  <si>
    <t>1. Use VLOOKUP to dynamically find the unit price for each ProductID in the Orders worksheet and calculate the total price.</t>
  </si>
  <si>
    <t>Unit Price</t>
  </si>
  <si>
    <t>Total Price</t>
  </si>
  <si>
    <t>2. Use nested VLOOKUP to find the category of each product in the Orders worksheet.</t>
  </si>
  <si>
    <t>Worksheet: MonthlySales</t>
  </si>
  <si>
    <t>Jan</t>
  </si>
  <si>
    <t>Feb</t>
  </si>
  <si>
    <t>Mar</t>
  </si>
  <si>
    <t>Apr</t>
  </si>
  <si>
    <t>May</t>
  </si>
  <si>
    <t>1. Use HLOOKUP to dynamically find the sales for Product B in a specified month.</t>
  </si>
  <si>
    <t>Name:- Debkanta Nandi</t>
  </si>
  <si>
    <t xml:space="preserve"> </t>
  </si>
  <si>
    <t>DPBA,ANP-D3870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</si>
</sst>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3" xfId="0" applyFill="1" applyBorder="1"/>
    <xf numFmtId="0" fontId="0" fillId="0" borderId="1" xfId="0" applyFill="1" applyBorder="1"/>
    <xf numFmtId="0" fontId="1" fillId="0" borderId="4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6" borderId="0" xfId="0" applyFont="1" applyFill="1"/>
    <xf numFmtId="0" fontId="2" fillId="7" borderId="0" xfId="0" applyFont="1" applyFill="1" applyAlignment="1">
      <alignment horizontal="center"/>
    </xf>
    <xf numFmtId="0" fontId="0" fillId="7" borderId="0" xfId="0" applyFill="1"/>
    <xf numFmtId="0" fontId="1" fillId="7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92C0-2DC1-4238-9710-76D449ED8AC9}">
  <dimension ref="A1:H10"/>
  <sheetViews>
    <sheetView tabSelected="1" workbookViewId="0">
      <selection activeCell="I10" sqref="I10"/>
    </sheetView>
  </sheetViews>
  <sheetFormatPr defaultRowHeight="14.4" x14ac:dyDescent="0.3"/>
  <cols>
    <col min="3" max="3" width="9.88671875" bestFit="1" customWidth="1"/>
  </cols>
  <sheetData>
    <row r="1" spans="1:8" x14ac:dyDescent="0.3">
      <c r="A1" s="17" t="s">
        <v>0</v>
      </c>
      <c r="B1" s="17"/>
      <c r="C1" s="17"/>
    </row>
    <row r="2" spans="1:8" ht="15.6" x14ac:dyDescent="0.3">
      <c r="F2" s="18" t="s">
        <v>29</v>
      </c>
      <c r="G2" s="18"/>
      <c r="H2" s="18"/>
    </row>
    <row r="3" spans="1:8" x14ac:dyDescent="0.3">
      <c r="A3" s="1" t="s">
        <v>1</v>
      </c>
      <c r="B3" s="1"/>
      <c r="C3" s="1"/>
      <c r="D3" s="1"/>
      <c r="E3" s="3"/>
      <c r="F3" s="19" t="s">
        <v>30</v>
      </c>
      <c r="G3" s="20" t="s">
        <v>31</v>
      </c>
      <c r="H3" s="20"/>
    </row>
    <row r="4" spans="1:8" x14ac:dyDescent="0.3">
      <c r="A4" s="4" t="s">
        <v>2</v>
      </c>
      <c r="B4" s="4" t="s">
        <v>3</v>
      </c>
      <c r="C4" s="4" t="s">
        <v>4</v>
      </c>
      <c r="D4" s="4" t="s">
        <v>5</v>
      </c>
    </row>
    <row r="5" spans="1:8" x14ac:dyDescent="0.3">
      <c r="A5" s="5">
        <v>101</v>
      </c>
      <c r="B5" s="5" t="s">
        <v>6</v>
      </c>
      <c r="C5" s="5" t="s">
        <v>12</v>
      </c>
      <c r="D5" s="5">
        <v>120</v>
      </c>
    </row>
    <row r="6" spans="1:8" x14ac:dyDescent="0.3">
      <c r="A6" s="5">
        <v>102</v>
      </c>
      <c r="B6" s="5" t="s">
        <v>7</v>
      </c>
      <c r="C6" s="5" t="s">
        <v>13</v>
      </c>
      <c r="D6" s="5">
        <v>150</v>
      </c>
    </row>
    <row r="7" spans="1:8" x14ac:dyDescent="0.3">
      <c r="A7" s="5">
        <v>103</v>
      </c>
      <c r="B7" s="5" t="s">
        <v>8</v>
      </c>
      <c r="C7" s="5" t="s">
        <v>12</v>
      </c>
      <c r="D7" s="5">
        <v>200</v>
      </c>
    </row>
    <row r="8" spans="1:8" x14ac:dyDescent="0.3">
      <c r="A8" s="5">
        <v>104</v>
      </c>
      <c r="B8" s="5" t="s">
        <v>9</v>
      </c>
      <c r="C8" s="5" t="s">
        <v>14</v>
      </c>
      <c r="D8" s="5">
        <v>90</v>
      </c>
    </row>
    <row r="9" spans="1:8" x14ac:dyDescent="0.3">
      <c r="A9" s="5">
        <v>105</v>
      </c>
      <c r="B9" s="5" t="s">
        <v>10</v>
      </c>
      <c r="C9" s="5" t="s">
        <v>13</v>
      </c>
      <c r="D9" s="5">
        <v>220</v>
      </c>
    </row>
    <row r="10" spans="1:8" x14ac:dyDescent="0.3">
      <c r="A10" s="5">
        <v>106</v>
      </c>
      <c r="B10" s="5" t="s">
        <v>11</v>
      </c>
      <c r="C10" s="5" t="s">
        <v>12</v>
      </c>
      <c r="D10" s="5">
        <v>130</v>
      </c>
    </row>
  </sheetData>
  <mergeCells count="2">
    <mergeCell ref="A3:D3"/>
    <mergeCell ref="F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719C-9612-44C9-BE4F-1C0A6ECED823}">
  <dimension ref="A1:L30"/>
  <sheetViews>
    <sheetView workbookViewId="0">
      <selection activeCell="B25" sqref="B25"/>
    </sheetView>
  </sheetViews>
  <sheetFormatPr defaultRowHeight="14.4" x14ac:dyDescent="0.3"/>
  <cols>
    <col min="2" max="2" width="9.88671875" bestFit="1" customWidth="1"/>
    <col min="3" max="3" width="8.33203125" bestFit="1" customWidth="1"/>
    <col min="4" max="4" width="9" bestFit="1" customWidth="1"/>
    <col min="5" max="5" width="9.109375" bestFit="1" customWidth="1"/>
    <col min="6" max="7" width="9.77734375" bestFit="1" customWidth="1"/>
  </cols>
  <sheetData>
    <row r="1" spans="1:12" x14ac:dyDescent="0.3">
      <c r="A1" s="7" t="s">
        <v>15</v>
      </c>
      <c r="B1" s="7"/>
      <c r="C1" s="7"/>
      <c r="D1" s="3"/>
    </row>
    <row r="2" spans="1:12" x14ac:dyDescent="0.3">
      <c r="A2" s="6"/>
      <c r="B2" s="6"/>
      <c r="C2" s="6"/>
      <c r="D2" s="3"/>
    </row>
    <row r="3" spans="1:12" x14ac:dyDescent="0.3">
      <c r="A3" s="4" t="s">
        <v>16</v>
      </c>
      <c r="B3" s="4" t="s">
        <v>2</v>
      </c>
      <c r="C3" s="4" t="s">
        <v>17</v>
      </c>
    </row>
    <row r="4" spans="1:12" x14ac:dyDescent="0.3">
      <c r="A4" s="5">
        <v>1</v>
      </c>
      <c r="B4" s="5">
        <v>101</v>
      </c>
      <c r="C4" s="5">
        <v>2</v>
      </c>
    </row>
    <row r="5" spans="1:12" x14ac:dyDescent="0.3">
      <c r="A5" s="5">
        <v>2</v>
      </c>
      <c r="B5" s="5">
        <v>103</v>
      </c>
      <c r="C5" s="5">
        <v>1</v>
      </c>
    </row>
    <row r="6" spans="1:12" x14ac:dyDescent="0.3">
      <c r="A6" s="5">
        <v>3</v>
      </c>
      <c r="B6" s="5">
        <v>105</v>
      </c>
      <c r="C6" s="5">
        <v>4</v>
      </c>
    </row>
    <row r="7" spans="1:12" x14ac:dyDescent="0.3">
      <c r="A7" s="5">
        <v>4</v>
      </c>
      <c r="B7" s="5">
        <v>106</v>
      </c>
      <c r="C7" s="5">
        <v>3</v>
      </c>
    </row>
    <row r="8" spans="1:12" x14ac:dyDescent="0.3">
      <c r="A8" s="5">
        <v>5</v>
      </c>
      <c r="B8" s="5">
        <v>102</v>
      </c>
      <c r="C8" s="5">
        <v>5</v>
      </c>
    </row>
    <row r="9" spans="1:12" x14ac:dyDescent="0.3">
      <c r="A9" s="5">
        <v>6</v>
      </c>
      <c r="B9" s="5">
        <v>104</v>
      </c>
      <c r="C9" s="5">
        <v>6</v>
      </c>
    </row>
    <row r="11" spans="1:12" x14ac:dyDescent="0.3">
      <c r="A11" s="17" t="s">
        <v>18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3" spans="1:12" x14ac:dyDescent="0.3">
      <c r="A13" s="16" t="s">
        <v>16</v>
      </c>
      <c r="B13" s="16" t="s">
        <v>2</v>
      </c>
      <c r="C13" s="16" t="s">
        <v>17</v>
      </c>
      <c r="D13" s="16" t="s">
        <v>3</v>
      </c>
      <c r="E13" s="15" t="s">
        <v>19</v>
      </c>
      <c r="F13" s="15" t="s">
        <v>20</v>
      </c>
    </row>
    <row r="14" spans="1:12" x14ac:dyDescent="0.3">
      <c r="A14" s="5">
        <v>1</v>
      </c>
      <c r="B14" s="5">
        <v>101</v>
      </c>
      <c r="C14" s="5">
        <v>2</v>
      </c>
      <c r="D14" s="5" t="str">
        <f>VLOOKUP(B14,'Product worksheet-VLookUp'!A$4:D$10,2,FALSE)</f>
        <v>Product A</v>
      </c>
      <c r="E14" s="13">
        <f>VLOOKUP($B14,'Product worksheet-VLookUp'!$A$4:$D$10,4,FALSE)</f>
        <v>120</v>
      </c>
      <c r="F14" s="14">
        <f>C14*E14</f>
        <v>240</v>
      </c>
    </row>
    <row r="15" spans="1:12" x14ac:dyDescent="0.3">
      <c r="A15" s="5">
        <v>2</v>
      </c>
      <c r="B15" s="5">
        <v>103</v>
      </c>
      <c r="C15" s="5">
        <v>1</v>
      </c>
      <c r="D15" s="5" t="str">
        <f>VLOOKUP(B15,'Product worksheet-VLookUp'!A$4:D$10,2,FALSE)</f>
        <v>Product C</v>
      </c>
      <c r="E15" s="13">
        <f>VLOOKUP($B15,'Product worksheet-VLookUp'!$A$4:$D$10,4,FALSE)</f>
        <v>200</v>
      </c>
      <c r="F15" s="14">
        <f t="shared" ref="F15:F19" si="0">C15*E15</f>
        <v>200</v>
      </c>
    </row>
    <row r="16" spans="1:12" x14ac:dyDescent="0.3">
      <c r="A16" s="5">
        <v>3</v>
      </c>
      <c r="B16" s="5">
        <v>105</v>
      </c>
      <c r="C16" s="5">
        <v>4</v>
      </c>
      <c r="D16" s="5" t="str">
        <f>VLOOKUP(B16,'Product worksheet-VLookUp'!A$4:D$10,2,FALSE)</f>
        <v>Product E</v>
      </c>
      <c r="E16" s="13">
        <f>VLOOKUP($B16,'Product worksheet-VLookUp'!$A$4:$D$10,4,FALSE)</f>
        <v>220</v>
      </c>
      <c r="F16" s="14">
        <f t="shared" si="0"/>
        <v>880</v>
      </c>
    </row>
    <row r="17" spans="1:8" x14ac:dyDescent="0.3">
      <c r="A17" s="5">
        <v>4</v>
      </c>
      <c r="B17" s="5">
        <v>106</v>
      </c>
      <c r="C17" s="5">
        <v>3</v>
      </c>
      <c r="D17" s="5" t="str">
        <f>VLOOKUP(B17,'Product worksheet-VLookUp'!A$4:D$10,2,FALSE)</f>
        <v>Product F</v>
      </c>
      <c r="E17" s="13">
        <f>VLOOKUP($B17,'Product worksheet-VLookUp'!$A$4:$D$10,4,FALSE)</f>
        <v>130</v>
      </c>
      <c r="F17" s="14">
        <f t="shared" si="0"/>
        <v>390</v>
      </c>
    </row>
    <row r="18" spans="1:8" x14ac:dyDescent="0.3">
      <c r="A18" s="5">
        <v>5</v>
      </c>
      <c r="B18" s="5">
        <v>102</v>
      </c>
      <c r="C18" s="5">
        <v>5</v>
      </c>
      <c r="D18" s="5" t="str">
        <f>VLOOKUP(B18,'Product worksheet-VLookUp'!A$4:D$10,2,FALSE)</f>
        <v>Product B</v>
      </c>
      <c r="E18" s="13">
        <f>VLOOKUP($B18,'Product worksheet-VLookUp'!$A$4:$D$10,4,FALSE)</f>
        <v>150</v>
      </c>
      <c r="F18" s="14">
        <f t="shared" si="0"/>
        <v>750</v>
      </c>
    </row>
    <row r="19" spans="1:8" x14ac:dyDescent="0.3">
      <c r="A19" s="5">
        <v>6</v>
      </c>
      <c r="B19" s="5">
        <v>104</v>
      </c>
      <c r="C19" s="5">
        <v>6</v>
      </c>
      <c r="D19" s="5" t="str">
        <f>VLOOKUP(B19,'Product worksheet-VLookUp'!A$4:D$10,2,FALSE)</f>
        <v>Product D</v>
      </c>
      <c r="E19" s="13">
        <f>VLOOKUP($B19,'Product worksheet-VLookUp'!$A$4:$D$10,4,FALSE)</f>
        <v>90</v>
      </c>
      <c r="F19" s="14">
        <f t="shared" si="0"/>
        <v>540</v>
      </c>
    </row>
    <row r="20" spans="1:8" x14ac:dyDescent="0.3">
      <c r="F20" s="8">
        <f>SUBTOTAL(9,F14:F19)</f>
        <v>3000</v>
      </c>
    </row>
    <row r="22" spans="1:8" x14ac:dyDescent="0.3">
      <c r="A22" s="17" t="s">
        <v>21</v>
      </c>
      <c r="B22" s="21"/>
      <c r="C22" s="21"/>
      <c r="D22" s="21"/>
      <c r="E22" s="21"/>
      <c r="F22" s="21"/>
      <c r="G22" s="21"/>
      <c r="H22" s="21"/>
    </row>
    <row r="23" spans="1:8" x14ac:dyDescent="0.3">
      <c r="A23" s="2"/>
    </row>
    <row r="24" spans="1:8" x14ac:dyDescent="0.3">
      <c r="A24" s="16" t="s">
        <v>2</v>
      </c>
      <c r="B24" s="15" t="s">
        <v>3</v>
      </c>
    </row>
    <row r="25" spans="1:8" x14ac:dyDescent="0.3">
      <c r="A25" s="5">
        <v>101</v>
      </c>
      <c r="B25" s="12" t="str">
        <f>VLOOKUP(VLOOKUP(A25,'Product worksheet-VLookUp'!$A$4:$D$10,2,FALSE),'Product worksheet-VLookUp'!$B$4:$D$10,2,FALSE)</f>
        <v>Electronics</v>
      </c>
    </row>
    <row r="26" spans="1:8" x14ac:dyDescent="0.3">
      <c r="A26" s="5">
        <v>103</v>
      </c>
      <c r="B26" s="12" t="str">
        <f>VLOOKUP(VLOOKUP(A26,'Product worksheet-VLookUp'!$A$4:$D$10,2,FALSE),'Product worksheet-VLookUp'!$B$4:$D$10,2,FALSE)</f>
        <v>Electronics</v>
      </c>
    </row>
    <row r="27" spans="1:8" x14ac:dyDescent="0.3">
      <c r="A27" s="5">
        <v>105</v>
      </c>
      <c r="B27" s="12" t="str">
        <f>VLOOKUP(VLOOKUP(A27,'Product worksheet-VLookUp'!$A$4:$D$10,2,FALSE),'Product worksheet-VLookUp'!$B$4:$D$10,2,FALSE)</f>
        <v>Furniture</v>
      </c>
    </row>
    <row r="28" spans="1:8" x14ac:dyDescent="0.3">
      <c r="A28" s="5">
        <v>106</v>
      </c>
      <c r="B28" s="12" t="str">
        <f>VLOOKUP(VLOOKUP(A28,'Product worksheet-VLookUp'!$A$4:$D$10,2,FALSE),'Product worksheet-VLookUp'!$B$4:$D$10,2,FALSE)</f>
        <v>Electronics</v>
      </c>
    </row>
    <row r="29" spans="1:8" x14ac:dyDescent="0.3">
      <c r="A29" s="5">
        <v>102</v>
      </c>
      <c r="B29" s="12" t="str">
        <f>VLOOKUP(VLOOKUP(A29,'Product worksheet-VLookUp'!$A$4:$D$10,2,FALSE),'Product worksheet-VLookUp'!$B$4:$D$10,2,FALSE)</f>
        <v>Furniture</v>
      </c>
    </row>
    <row r="30" spans="1:8" x14ac:dyDescent="0.3">
      <c r="A30" s="5">
        <v>104</v>
      </c>
      <c r="B30" s="12" t="str">
        <f>VLOOKUP(VLOOKUP(A30,'Product worksheet-VLookUp'!$A$4:$D$10,2,FALSE),'Product worksheet-VLookUp'!$B$4:$D$10,2,FALSE)</f>
        <v>Clothing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D582-0EB1-45EB-87FA-95EACED72DD0}">
  <dimension ref="A1:H13"/>
  <sheetViews>
    <sheetView workbookViewId="0">
      <selection activeCell="B12" sqref="B12"/>
    </sheetView>
  </sheetViews>
  <sheetFormatPr defaultRowHeight="14.4" x14ac:dyDescent="0.3"/>
  <sheetData>
    <row r="1" spans="1:8" x14ac:dyDescent="0.3">
      <c r="A1" s="1" t="s">
        <v>22</v>
      </c>
      <c r="B1" s="1"/>
      <c r="C1" s="1"/>
      <c r="D1" s="1"/>
      <c r="E1" s="1"/>
      <c r="F1" s="1"/>
    </row>
    <row r="3" spans="1:8" x14ac:dyDescent="0.3"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</row>
    <row r="4" spans="1:8" x14ac:dyDescent="0.3">
      <c r="A4" s="5" t="s">
        <v>6</v>
      </c>
      <c r="B4" s="5">
        <v>120</v>
      </c>
      <c r="C4" s="5">
        <v>130</v>
      </c>
      <c r="D4" s="5">
        <v>140</v>
      </c>
      <c r="E4" s="5">
        <v>150</v>
      </c>
      <c r="F4" s="5">
        <v>160</v>
      </c>
    </row>
    <row r="5" spans="1:8" x14ac:dyDescent="0.3">
      <c r="A5" s="5" t="s">
        <v>7</v>
      </c>
      <c r="B5" s="5">
        <v>150</v>
      </c>
      <c r="C5" s="5">
        <v>160</v>
      </c>
      <c r="D5" s="5">
        <v>170</v>
      </c>
      <c r="E5" s="5">
        <v>180</v>
      </c>
      <c r="F5" s="5">
        <v>190</v>
      </c>
    </row>
    <row r="6" spans="1:8" x14ac:dyDescent="0.3">
      <c r="A6" s="5" t="s">
        <v>8</v>
      </c>
      <c r="B6" s="5">
        <v>200</v>
      </c>
      <c r="C6" s="5">
        <v>210</v>
      </c>
      <c r="D6" s="5">
        <v>220</v>
      </c>
      <c r="E6" s="5">
        <v>230</v>
      </c>
      <c r="F6" s="5">
        <v>240</v>
      </c>
    </row>
    <row r="7" spans="1:8" x14ac:dyDescent="0.3">
      <c r="A7" s="5" t="s">
        <v>9</v>
      </c>
      <c r="B7" s="5">
        <v>90</v>
      </c>
      <c r="C7" s="5">
        <v>100</v>
      </c>
      <c r="D7" s="5">
        <v>110</v>
      </c>
      <c r="E7" s="5">
        <v>120</v>
      </c>
      <c r="F7" s="5">
        <v>130</v>
      </c>
    </row>
    <row r="8" spans="1:8" x14ac:dyDescent="0.3">
      <c r="A8" s="5" t="s">
        <v>10</v>
      </c>
      <c r="B8" s="5">
        <v>220</v>
      </c>
      <c r="C8" s="5">
        <v>230</v>
      </c>
      <c r="D8" s="5">
        <v>240</v>
      </c>
      <c r="E8" s="5">
        <v>250</v>
      </c>
      <c r="F8" s="5">
        <v>260</v>
      </c>
    </row>
    <row r="9" spans="1:8" x14ac:dyDescent="0.3">
      <c r="A9" s="9" t="s">
        <v>11</v>
      </c>
      <c r="B9" s="9">
        <v>130</v>
      </c>
      <c r="C9" s="9">
        <v>140</v>
      </c>
      <c r="D9" s="9">
        <v>150</v>
      </c>
      <c r="E9" s="9">
        <v>160</v>
      </c>
      <c r="F9" s="9">
        <v>170</v>
      </c>
    </row>
    <row r="11" spans="1:8" x14ac:dyDescent="0.3">
      <c r="A11" s="17" t="s">
        <v>28</v>
      </c>
      <c r="B11" s="21"/>
      <c r="C11" s="21"/>
      <c r="D11" s="21"/>
      <c r="E11" s="21"/>
      <c r="F11" s="21"/>
      <c r="G11" s="21"/>
      <c r="H11" s="21"/>
    </row>
    <row r="12" spans="1:8" x14ac:dyDescent="0.3">
      <c r="B12" s="11" t="s">
        <v>25</v>
      </c>
    </row>
    <row r="13" spans="1:8" x14ac:dyDescent="0.3">
      <c r="A13" s="10" t="s">
        <v>7</v>
      </c>
      <c r="B13" s="12">
        <f>HLOOKUP(B12,$A$3:$F$9,3,FALSE)</f>
        <v>170</v>
      </c>
    </row>
  </sheetData>
  <mergeCells count="1">
    <mergeCell ref="A1:F1"/>
  </mergeCells>
  <dataValidations count="1">
    <dataValidation type="list" allowBlank="1" showInputMessage="1" showErrorMessage="1" sqref="B12" xr:uid="{3E57C583-9FA5-430B-9CAB-008CD1E7AE21}">
      <formula1>$B$3:$F$3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worksheet-VLookUp</vt:lpstr>
      <vt:lpstr>Order Worksheet-VLookUp</vt:lpstr>
      <vt:lpstr>Worksheet-HLookUp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cp:lastPrinted>2026-03-15T08:01:37Z</cp:lastPrinted>
  <dcterms:created xsi:type="dcterms:W3CDTF">2026-03-15T06:13:49Z</dcterms:created>
  <dcterms:modified xsi:type="dcterms:W3CDTF">2026-03-15T08:26:36Z</dcterms:modified>
</cp:coreProperties>
</file>