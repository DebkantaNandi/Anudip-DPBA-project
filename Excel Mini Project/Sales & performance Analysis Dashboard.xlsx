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debka\Downloads\"/>
    </mc:Choice>
  </mc:AlternateContent>
  <xr:revisionPtr revIDLastSave="0" documentId="13_ncr:1_{D77DCD71-319E-4C3F-8043-173C58397B9D}" xr6:coauthVersionLast="47" xr6:coauthVersionMax="47" xr10:uidLastSave="{00000000-0000-0000-0000-000000000000}"/>
  <bookViews>
    <workbookView xWindow="-108" yWindow="-108" windowWidth="23256" windowHeight="12456" firstSheet="9" activeTab="14" xr2:uid="{00000000-000D-0000-FFFF-FFFF00000000}"/>
  </bookViews>
  <sheets>
    <sheet name="01_Main_Dataset" sheetId="1" r:id="rId1"/>
    <sheet name="02_Data_Cleaning" sheetId="2" r:id="rId2"/>
    <sheet name="03_Cell_Referencing" sheetId="3" r:id="rId3"/>
    <sheet name="04_Sorting_Filtering" sheetId="4" r:id="rId4"/>
    <sheet name="05_Conditional_Formatting" sheetId="5" r:id="rId5"/>
    <sheet name="06_Logical_Functions" sheetId="6" r:id="rId6"/>
    <sheet name="07_Advanced_Formulas" sheetId="7" r:id="rId7"/>
    <sheet name="08_VLOOKUP" sheetId="8" r:id="rId8"/>
    <sheet name="09_HLOOKUP" sheetId="9" r:id="rId9"/>
    <sheet name="Match &amp; Index" sheetId="14" r:id="rId10"/>
    <sheet name="10_Pivot_Tables" sheetId="10" r:id="rId11"/>
    <sheet name="Sheet3" sheetId="17" r:id="rId12"/>
    <sheet name="Sheet5" sheetId="19" r:id="rId13"/>
    <sheet name="Sheet6" sheetId="20" r:id="rId14"/>
    <sheet name="Dashboard" sheetId="15" r:id="rId15"/>
  </sheets>
  <definedNames>
    <definedName name="_xlnm._FilterDatabase" localSheetId="3" hidden="1">'04_Sorting_Filtering'!$C$1:$N$401</definedName>
    <definedName name="Slicer_Category">#N/A</definedName>
    <definedName name="Slicer_Date">#N/A</definedName>
    <definedName name="Slicer_Discount">#N/A</definedName>
    <definedName name="Slicer_Order_ID">#N/A</definedName>
    <definedName name="Slicer_Product">#N/A</definedName>
    <definedName name="Slicer_Profit">#N/A</definedName>
    <definedName name="Slicer_Region">#N/A</definedName>
    <definedName name="Slicer_Sales">#N/A</definedName>
    <definedName name="Slicer_Segment">#N/A</definedName>
    <definedName name="Slicer_Sub_Category">#N/A</definedName>
  </definedNames>
  <calcPr calcId="191029"/>
  <pivotCaches>
    <pivotCache cacheId="1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4" l="1"/>
  <c r="B5" i="14"/>
  <c r="D79" i="9"/>
  <c r="C79" i="9"/>
  <c r="B79" i="9"/>
  <c r="D78" i="9"/>
  <c r="C78" i="9"/>
  <c r="B78" i="9"/>
  <c r="D77" i="9"/>
  <c r="C77" i="9"/>
  <c r="B77" i="9"/>
  <c r="D76" i="9"/>
  <c r="C76" i="9"/>
  <c r="B76" i="9"/>
  <c r="D75" i="9"/>
  <c r="C75" i="9"/>
  <c r="B75" i="9"/>
  <c r="D74" i="9"/>
  <c r="C74" i="9"/>
  <c r="B74" i="9"/>
  <c r="D73" i="9"/>
  <c r="C73" i="9"/>
  <c r="B73" i="9"/>
  <c r="D72" i="9"/>
  <c r="C72" i="9"/>
  <c r="B72" i="9"/>
  <c r="D71" i="9"/>
  <c r="C71" i="9"/>
  <c r="B71" i="9"/>
  <c r="D70" i="9"/>
  <c r="C70" i="9"/>
  <c r="B70" i="9"/>
  <c r="D69" i="9"/>
  <c r="C69" i="9"/>
  <c r="B69" i="9"/>
  <c r="D68" i="9"/>
  <c r="C68" i="9"/>
  <c r="B68" i="9"/>
  <c r="D67" i="9"/>
  <c r="C67" i="9"/>
  <c r="B67" i="9"/>
  <c r="D66" i="9"/>
  <c r="C66" i="9"/>
  <c r="B66" i="9"/>
  <c r="D65" i="9"/>
  <c r="C65" i="9"/>
  <c r="B65" i="9"/>
  <c r="D64" i="9"/>
  <c r="C64" i="9"/>
  <c r="B64" i="9"/>
  <c r="D63" i="9"/>
  <c r="C63" i="9"/>
  <c r="B63" i="9"/>
  <c r="D62" i="9"/>
  <c r="C62" i="9"/>
  <c r="B62" i="9"/>
  <c r="D61" i="9"/>
  <c r="C61" i="9"/>
  <c r="B61" i="9"/>
  <c r="D60" i="9"/>
  <c r="C60" i="9"/>
  <c r="B60" i="9"/>
  <c r="D59" i="9"/>
  <c r="C59" i="9"/>
  <c r="B59" i="9"/>
  <c r="D58" i="9"/>
  <c r="C58" i="9"/>
  <c r="B58" i="9"/>
  <c r="D57" i="9"/>
  <c r="C57" i="9"/>
  <c r="B57" i="9"/>
  <c r="D56" i="9"/>
  <c r="C56" i="9"/>
  <c r="B56" i="9"/>
  <c r="D55" i="9"/>
  <c r="C55" i="9"/>
  <c r="B55" i="9"/>
  <c r="D54" i="9"/>
  <c r="C54" i="9"/>
  <c r="B54" i="9"/>
  <c r="D53" i="9"/>
  <c r="C53" i="9"/>
  <c r="B53" i="9"/>
  <c r="D52" i="9"/>
  <c r="C52" i="9"/>
  <c r="B52" i="9"/>
  <c r="D51" i="9"/>
  <c r="C51" i="9"/>
  <c r="B51" i="9"/>
  <c r="D50" i="9"/>
  <c r="C50" i="9"/>
  <c r="B50" i="9"/>
  <c r="D49" i="9"/>
  <c r="C49" i="9"/>
  <c r="B49" i="9"/>
  <c r="D48" i="9"/>
  <c r="C48" i="9"/>
  <c r="B48" i="9"/>
  <c r="D47" i="9"/>
  <c r="C47" i="9"/>
  <c r="B47" i="9"/>
  <c r="D46" i="9"/>
  <c r="C46" i="9"/>
  <c r="B46" i="9"/>
  <c r="D45" i="9"/>
  <c r="C45" i="9"/>
  <c r="B45" i="9"/>
  <c r="D44" i="9"/>
  <c r="C44" i="9"/>
  <c r="B44" i="9"/>
  <c r="D43" i="9"/>
  <c r="C43" i="9"/>
  <c r="B43" i="9"/>
  <c r="D42" i="9"/>
  <c r="C42" i="9"/>
  <c r="B42" i="9"/>
  <c r="D41" i="9"/>
  <c r="C41" i="9"/>
  <c r="B41" i="9"/>
  <c r="D40" i="9"/>
  <c r="C40" i="9"/>
  <c r="B40" i="9"/>
  <c r="D39" i="9"/>
  <c r="C39" i="9"/>
  <c r="B39" i="9"/>
  <c r="D38" i="9"/>
  <c r="C38" i="9"/>
  <c r="B38" i="9"/>
  <c r="D37" i="9"/>
  <c r="C37" i="9"/>
  <c r="B37" i="9"/>
  <c r="D36" i="9"/>
  <c r="C36" i="9"/>
  <c r="B36" i="9"/>
  <c r="D35" i="9"/>
  <c r="C35" i="9"/>
  <c r="B35" i="9"/>
  <c r="D34" i="9"/>
  <c r="C34" i="9"/>
  <c r="B34" i="9"/>
  <c r="D33" i="9"/>
  <c r="C33" i="9"/>
  <c r="B33" i="9"/>
  <c r="D32" i="9"/>
  <c r="C32" i="9"/>
  <c r="B32" i="9"/>
  <c r="D31" i="9"/>
  <c r="C31" i="9"/>
  <c r="B31" i="9"/>
  <c r="D30" i="9"/>
  <c r="C30" i="9"/>
  <c r="B30" i="9"/>
  <c r="D29" i="9"/>
  <c r="C29" i="9"/>
  <c r="B29" i="9"/>
  <c r="D28" i="9"/>
  <c r="C28" i="9"/>
  <c r="B28" i="9"/>
  <c r="D27" i="9"/>
  <c r="C27" i="9"/>
  <c r="B27" i="9"/>
  <c r="D26" i="9"/>
  <c r="C26" i="9"/>
  <c r="B26" i="9"/>
  <c r="D25" i="9"/>
  <c r="C25" i="9"/>
  <c r="B25" i="9"/>
  <c r="D24" i="9"/>
  <c r="C24" i="9"/>
  <c r="B24" i="9"/>
  <c r="D23" i="9"/>
  <c r="C23" i="9"/>
  <c r="B23" i="9"/>
  <c r="D22" i="9"/>
  <c r="C22" i="9"/>
  <c r="B22" i="9"/>
  <c r="D21" i="9"/>
  <c r="C21" i="9"/>
  <c r="B21" i="9"/>
  <c r="D20" i="9"/>
  <c r="C20" i="9"/>
  <c r="B20" i="9"/>
  <c r="D19" i="9"/>
  <c r="C19" i="9"/>
  <c r="B19" i="9"/>
  <c r="D18" i="9"/>
  <c r="C18" i="9"/>
  <c r="B18" i="9"/>
  <c r="D17" i="9"/>
  <c r="C17" i="9"/>
  <c r="B17" i="9"/>
  <c r="D16" i="9"/>
  <c r="C16" i="9"/>
  <c r="B16" i="9"/>
  <c r="D15" i="9"/>
  <c r="C15" i="9"/>
  <c r="B15" i="9"/>
  <c r="D14" i="9"/>
  <c r="C14" i="9"/>
  <c r="B14" i="9"/>
  <c r="D13" i="9"/>
  <c r="C13" i="9"/>
  <c r="B13" i="9"/>
  <c r="D12" i="9"/>
  <c r="C12" i="9"/>
  <c r="B12" i="9"/>
  <c r="D11" i="9"/>
  <c r="C11" i="9"/>
  <c r="B11" i="9"/>
  <c r="D10" i="9"/>
  <c r="C10" i="9"/>
  <c r="B10" i="9"/>
  <c r="D9" i="9"/>
  <c r="C9" i="9"/>
  <c r="B9" i="9"/>
  <c r="D8" i="9"/>
  <c r="C8" i="9"/>
  <c r="B8" i="9"/>
  <c r="D7" i="9"/>
  <c r="C7" i="9"/>
  <c r="B7" i="9"/>
  <c r="D6" i="9"/>
  <c r="C6" i="9"/>
  <c r="B6" i="9"/>
  <c r="D5" i="9"/>
  <c r="C5" i="9"/>
  <c r="B5" i="9"/>
  <c r="D4" i="9"/>
  <c r="C4" i="9"/>
  <c r="B4" i="9"/>
  <c r="D3" i="9"/>
  <c r="C3" i="9"/>
  <c r="B3" i="9"/>
  <c r="D2" i="9"/>
  <c r="C2" i="9"/>
  <c r="B2" i="9"/>
  <c r="D79" i="8"/>
  <c r="C79" i="8"/>
  <c r="B79" i="8"/>
  <c r="B78" i="8"/>
  <c r="C78" i="8" s="1"/>
  <c r="D77" i="8"/>
  <c r="B77" i="8"/>
  <c r="C77" i="8" s="1"/>
  <c r="D76" i="8"/>
  <c r="B76" i="8"/>
  <c r="C76" i="8" s="1"/>
  <c r="D75" i="8"/>
  <c r="C75" i="8"/>
  <c r="B75" i="8"/>
  <c r="B74" i="8"/>
  <c r="D74" i="8" s="1"/>
  <c r="B73" i="8"/>
  <c r="D73" i="8" s="1"/>
  <c r="D72" i="8"/>
  <c r="C72" i="8"/>
  <c r="B72" i="8"/>
  <c r="D71" i="8"/>
  <c r="C71" i="8"/>
  <c r="B71" i="8"/>
  <c r="B70" i="8"/>
  <c r="C70" i="8" s="1"/>
  <c r="D69" i="8"/>
  <c r="B69" i="8"/>
  <c r="C69" i="8" s="1"/>
  <c r="D68" i="8"/>
  <c r="B68" i="8"/>
  <c r="C68" i="8" s="1"/>
  <c r="D67" i="8"/>
  <c r="C67" i="8"/>
  <c r="B67" i="8"/>
  <c r="B66" i="8"/>
  <c r="D66" i="8" s="1"/>
  <c r="B65" i="8"/>
  <c r="D65" i="8" s="1"/>
  <c r="D64" i="8"/>
  <c r="C64" i="8"/>
  <c r="B64" i="8"/>
  <c r="D63" i="8"/>
  <c r="C63" i="8"/>
  <c r="B63" i="8"/>
  <c r="B62" i="8"/>
  <c r="C62" i="8" s="1"/>
  <c r="D61" i="8"/>
  <c r="B61" i="8"/>
  <c r="C61" i="8" s="1"/>
  <c r="D60" i="8"/>
  <c r="B60" i="8"/>
  <c r="C60" i="8" s="1"/>
  <c r="D59" i="8"/>
  <c r="C59" i="8"/>
  <c r="B59" i="8"/>
  <c r="B58" i="8"/>
  <c r="D58" i="8" s="1"/>
  <c r="B57" i="8"/>
  <c r="D57" i="8" s="1"/>
  <c r="D56" i="8"/>
  <c r="C56" i="8"/>
  <c r="B56" i="8"/>
  <c r="D55" i="8"/>
  <c r="C55" i="8"/>
  <c r="B55" i="8"/>
  <c r="B54" i="8"/>
  <c r="C54" i="8" s="1"/>
  <c r="D53" i="8"/>
  <c r="B53" i="8"/>
  <c r="C53" i="8" s="1"/>
  <c r="D52" i="8"/>
  <c r="B52" i="8"/>
  <c r="C52" i="8" s="1"/>
  <c r="D51" i="8"/>
  <c r="C51" i="8"/>
  <c r="B51" i="8"/>
  <c r="B50" i="8"/>
  <c r="D50" i="8" s="1"/>
  <c r="B49" i="8"/>
  <c r="D49" i="8" s="1"/>
  <c r="D48" i="8"/>
  <c r="C48" i="8"/>
  <c r="B48" i="8"/>
  <c r="D47" i="8"/>
  <c r="C47" i="8"/>
  <c r="B47" i="8"/>
  <c r="B46" i="8"/>
  <c r="C46" i="8" s="1"/>
  <c r="D45" i="8"/>
  <c r="B45" i="8"/>
  <c r="C45" i="8" s="1"/>
  <c r="D44" i="8"/>
  <c r="B44" i="8"/>
  <c r="C44" i="8" s="1"/>
  <c r="D43" i="8"/>
  <c r="C43" i="8"/>
  <c r="B43" i="8"/>
  <c r="B42" i="8"/>
  <c r="D42" i="8" s="1"/>
  <c r="B41" i="8"/>
  <c r="D41" i="8" s="1"/>
  <c r="D40" i="8"/>
  <c r="C40" i="8"/>
  <c r="B40" i="8"/>
  <c r="D39" i="8"/>
  <c r="C39" i="8"/>
  <c r="B39" i="8"/>
  <c r="B38" i="8"/>
  <c r="C38" i="8" s="1"/>
  <c r="D37" i="8"/>
  <c r="B37" i="8"/>
  <c r="C37" i="8" s="1"/>
  <c r="D36" i="8"/>
  <c r="B36" i="8"/>
  <c r="C36" i="8" s="1"/>
  <c r="D35" i="8"/>
  <c r="C35" i="8"/>
  <c r="B35" i="8"/>
  <c r="B34" i="8"/>
  <c r="D34" i="8" s="1"/>
  <c r="B33" i="8"/>
  <c r="D33" i="8" s="1"/>
  <c r="D32" i="8"/>
  <c r="C32" i="8"/>
  <c r="B32" i="8"/>
  <c r="D31" i="8"/>
  <c r="C31" i="8"/>
  <c r="B31" i="8"/>
  <c r="B30" i="8"/>
  <c r="C30" i="8" s="1"/>
  <c r="D29" i="8"/>
  <c r="B29" i="8"/>
  <c r="C29" i="8" s="1"/>
  <c r="D28" i="8"/>
  <c r="B28" i="8"/>
  <c r="C28" i="8" s="1"/>
  <c r="D27" i="8"/>
  <c r="C27" i="8"/>
  <c r="B27" i="8"/>
  <c r="B26" i="8"/>
  <c r="D26" i="8" s="1"/>
  <c r="B25" i="8"/>
  <c r="D25" i="8" s="1"/>
  <c r="D24" i="8"/>
  <c r="C24" i="8"/>
  <c r="B24" i="8"/>
  <c r="D23" i="8"/>
  <c r="C23" i="8"/>
  <c r="B23" i="8"/>
  <c r="B22" i="8"/>
  <c r="C22" i="8" s="1"/>
  <c r="D21" i="8"/>
  <c r="B21" i="8"/>
  <c r="C21" i="8" s="1"/>
  <c r="D20" i="8"/>
  <c r="B20" i="8"/>
  <c r="C20" i="8" s="1"/>
  <c r="D19" i="8"/>
  <c r="C19" i="8"/>
  <c r="B19" i="8"/>
  <c r="B18" i="8"/>
  <c r="D18" i="8" s="1"/>
  <c r="B17" i="8"/>
  <c r="D17" i="8" s="1"/>
  <c r="D16" i="8"/>
  <c r="C16" i="8"/>
  <c r="B16" i="8"/>
  <c r="D15" i="8"/>
  <c r="C15" i="8"/>
  <c r="B15" i="8"/>
  <c r="B14" i="8"/>
  <c r="C14" i="8" s="1"/>
  <c r="D13" i="8"/>
  <c r="B13" i="8"/>
  <c r="C13" i="8" s="1"/>
  <c r="D12" i="8"/>
  <c r="B12" i="8"/>
  <c r="C12" i="8" s="1"/>
  <c r="D11" i="8"/>
  <c r="C11" i="8"/>
  <c r="B11" i="8"/>
  <c r="B10" i="8"/>
  <c r="D10" i="8" s="1"/>
  <c r="B9" i="8"/>
  <c r="D9" i="8" s="1"/>
  <c r="D8" i="8"/>
  <c r="C8" i="8"/>
  <c r="B8" i="8"/>
  <c r="D7" i="8"/>
  <c r="C7" i="8"/>
  <c r="B7" i="8"/>
  <c r="B6" i="8"/>
  <c r="C6" i="8" s="1"/>
  <c r="D5" i="8"/>
  <c r="B5" i="8"/>
  <c r="C5" i="8" s="1"/>
  <c r="D4" i="8"/>
  <c r="B4" i="8"/>
  <c r="C4" i="8" s="1"/>
  <c r="D3" i="8"/>
  <c r="C3" i="8"/>
  <c r="B3" i="8"/>
  <c r="B2" i="8"/>
  <c r="D2" i="8" s="1"/>
  <c r="E79" i="7"/>
  <c r="D79" i="7"/>
  <c r="C79" i="7"/>
  <c r="B79" i="7"/>
  <c r="E78" i="7"/>
  <c r="D78" i="7"/>
  <c r="C78" i="7"/>
  <c r="B78" i="7"/>
  <c r="E77" i="7"/>
  <c r="D77" i="7"/>
  <c r="C77" i="7"/>
  <c r="B77" i="7"/>
  <c r="E76" i="7"/>
  <c r="D76" i="7"/>
  <c r="C76" i="7"/>
  <c r="B76" i="7"/>
  <c r="E75" i="7"/>
  <c r="D75" i="7"/>
  <c r="C75" i="7"/>
  <c r="B75" i="7"/>
  <c r="E74" i="7"/>
  <c r="D74" i="7"/>
  <c r="C74" i="7"/>
  <c r="B74" i="7"/>
  <c r="E73" i="7"/>
  <c r="D73" i="7"/>
  <c r="C73" i="7"/>
  <c r="B73" i="7"/>
  <c r="E72" i="7"/>
  <c r="D72" i="7"/>
  <c r="C72" i="7"/>
  <c r="B72" i="7"/>
  <c r="E71" i="7"/>
  <c r="D71" i="7"/>
  <c r="C71" i="7"/>
  <c r="B71" i="7"/>
  <c r="E70" i="7"/>
  <c r="D70" i="7"/>
  <c r="C70" i="7"/>
  <c r="B70" i="7"/>
  <c r="E69" i="7"/>
  <c r="D69" i="7"/>
  <c r="C69" i="7"/>
  <c r="B69" i="7"/>
  <c r="E68" i="7"/>
  <c r="D68" i="7"/>
  <c r="C68" i="7"/>
  <c r="B68" i="7"/>
  <c r="E67" i="7"/>
  <c r="D67" i="7"/>
  <c r="C67" i="7"/>
  <c r="B67" i="7"/>
  <c r="E66" i="7"/>
  <c r="D66" i="7"/>
  <c r="C66" i="7"/>
  <c r="B66" i="7"/>
  <c r="E65" i="7"/>
  <c r="D65" i="7"/>
  <c r="C65" i="7"/>
  <c r="B65" i="7"/>
  <c r="E64" i="7"/>
  <c r="D64" i="7"/>
  <c r="C64" i="7"/>
  <c r="B64" i="7"/>
  <c r="E63" i="7"/>
  <c r="D63" i="7"/>
  <c r="C63" i="7"/>
  <c r="B63" i="7"/>
  <c r="E62" i="7"/>
  <c r="D62" i="7"/>
  <c r="C62" i="7"/>
  <c r="B62" i="7"/>
  <c r="E61" i="7"/>
  <c r="D61" i="7"/>
  <c r="C61" i="7"/>
  <c r="B61" i="7"/>
  <c r="E60" i="7"/>
  <c r="D60" i="7"/>
  <c r="C60" i="7"/>
  <c r="B60" i="7"/>
  <c r="E59" i="7"/>
  <c r="D59" i="7"/>
  <c r="C59" i="7"/>
  <c r="B59" i="7"/>
  <c r="E58" i="7"/>
  <c r="D58" i="7"/>
  <c r="C58" i="7"/>
  <c r="B58" i="7"/>
  <c r="E57" i="7"/>
  <c r="D57" i="7"/>
  <c r="C57" i="7"/>
  <c r="B57" i="7"/>
  <c r="E56" i="7"/>
  <c r="D56" i="7"/>
  <c r="C56" i="7"/>
  <c r="B56" i="7"/>
  <c r="E55" i="7"/>
  <c r="D55" i="7"/>
  <c r="C55" i="7"/>
  <c r="B55" i="7"/>
  <c r="E54" i="7"/>
  <c r="D54" i="7"/>
  <c r="C54" i="7"/>
  <c r="B54" i="7"/>
  <c r="E53" i="7"/>
  <c r="D53" i="7"/>
  <c r="C53" i="7"/>
  <c r="B53" i="7"/>
  <c r="E52" i="7"/>
  <c r="D52" i="7"/>
  <c r="C52" i="7"/>
  <c r="B52" i="7"/>
  <c r="E51" i="7"/>
  <c r="D51" i="7"/>
  <c r="C51" i="7"/>
  <c r="B51" i="7"/>
  <c r="E50" i="7"/>
  <c r="D50" i="7"/>
  <c r="C50" i="7"/>
  <c r="B50" i="7"/>
  <c r="E49" i="7"/>
  <c r="D49" i="7"/>
  <c r="C49" i="7"/>
  <c r="B49" i="7"/>
  <c r="E48" i="7"/>
  <c r="D48" i="7"/>
  <c r="C48" i="7"/>
  <c r="B48" i="7"/>
  <c r="E47" i="7"/>
  <c r="D47" i="7"/>
  <c r="C47" i="7"/>
  <c r="B47" i="7"/>
  <c r="E46" i="7"/>
  <c r="D46" i="7"/>
  <c r="C46" i="7"/>
  <c r="B46" i="7"/>
  <c r="E45" i="7"/>
  <c r="D45" i="7"/>
  <c r="C45" i="7"/>
  <c r="B45" i="7"/>
  <c r="E44" i="7"/>
  <c r="D44" i="7"/>
  <c r="C44" i="7"/>
  <c r="B44" i="7"/>
  <c r="E43" i="7"/>
  <c r="D43" i="7"/>
  <c r="C43" i="7"/>
  <c r="B43" i="7"/>
  <c r="E42" i="7"/>
  <c r="D42" i="7"/>
  <c r="C42" i="7"/>
  <c r="B42" i="7"/>
  <c r="E41" i="7"/>
  <c r="D41" i="7"/>
  <c r="C41" i="7"/>
  <c r="B41" i="7"/>
  <c r="E40" i="7"/>
  <c r="D40" i="7"/>
  <c r="C40" i="7"/>
  <c r="B40" i="7"/>
  <c r="E39" i="7"/>
  <c r="D39" i="7"/>
  <c r="C39" i="7"/>
  <c r="B39" i="7"/>
  <c r="E38" i="7"/>
  <c r="D38" i="7"/>
  <c r="C38" i="7"/>
  <c r="B38" i="7"/>
  <c r="E37" i="7"/>
  <c r="D37" i="7"/>
  <c r="C37" i="7"/>
  <c r="B37" i="7"/>
  <c r="E36" i="7"/>
  <c r="D36" i="7"/>
  <c r="C36" i="7"/>
  <c r="B36" i="7"/>
  <c r="E35" i="7"/>
  <c r="D35" i="7"/>
  <c r="C35" i="7"/>
  <c r="B35" i="7"/>
  <c r="E34" i="7"/>
  <c r="D34" i="7"/>
  <c r="C34" i="7"/>
  <c r="B34" i="7"/>
  <c r="E33" i="7"/>
  <c r="D33" i="7"/>
  <c r="C33" i="7"/>
  <c r="B33" i="7"/>
  <c r="E32" i="7"/>
  <c r="D32" i="7"/>
  <c r="C32" i="7"/>
  <c r="B32" i="7"/>
  <c r="E31" i="7"/>
  <c r="D31" i="7"/>
  <c r="C31" i="7"/>
  <c r="B31" i="7"/>
  <c r="E30" i="7"/>
  <c r="D30" i="7"/>
  <c r="C30" i="7"/>
  <c r="B30" i="7"/>
  <c r="E29" i="7"/>
  <c r="D29" i="7"/>
  <c r="C29" i="7"/>
  <c r="B29" i="7"/>
  <c r="E28" i="7"/>
  <c r="D28" i="7"/>
  <c r="C28" i="7"/>
  <c r="B28" i="7"/>
  <c r="E27" i="7"/>
  <c r="D27" i="7"/>
  <c r="C27" i="7"/>
  <c r="B27" i="7"/>
  <c r="E26" i="7"/>
  <c r="D26" i="7"/>
  <c r="C26" i="7"/>
  <c r="B26" i="7"/>
  <c r="E25" i="7"/>
  <c r="D25" i="7"/>
  <c r="C25" i="7"/>
  <c r="B25" i="7"/>
  <c r="E24" i="7"/>
  <c r="D24" i="7"/>
  <c r="C24" i="7"/>
  <c r="B24" i="7"/>
  <c r="E23" i="7"/>
  <c r="D23" i="7"/>
  <c r="C23" i="7"/>
  <c r="B23" i="7"/>
  <c r="E22" i="7"/>
  <c r="D22" i="7"/>
  <c r="C22" i="7"/>
  <c r="B22" i="7"/>
  <c r="E21" i="7"/>
  <c r="D21" i="7"/>
  <c r="C21" i="7"/>
  <c r="B21" i="7"/>
  <c r="E20" i="7"/>
  <c r="D20" i="7"/>
  <c r="C20" i="7"/>
  <c r="B20" i="7"/>
  <c r="E19" i="7"/>
  <c r="D19" i="7"/>
  <c r="C19" i="7"/>
  <c r="B19" i="7"/>
  <c r="E18" i="7"/>
  <c r="D18" i="7"/>
  <c r="C18" i="7"/>
  <c r="B18" i="7"/>
  <c r="E17" i="7"/>
  <c r="D17" i="7"/>
  <c r="C17" i="7"/>
  <c r="B17" i="7"/>
  <c r="E16" i="7"/>
  <c r="D16" i="7"/>
  <c r="C16" i="7"/>
  <c r="B16" i="7"/>
  <c r="E15" i="7"/>
  <c r="D15" i="7"/>
  <c r="C15" i="7"/>
  <c r="B15" i="7"/>
  <c r="E14" i="7"/>
  <c r="D14" i="7"/>
  <c r="C14" i="7"/>
  <c r="B14" i="7"/>
  <c r="E13" i="7"/>
  <c r="D13" i="7"/>
  <c r="C13" i="7"/>
  <c r="B13" i="7"/>
  <c r="E12" i="7"/>
  <c r="D12" i="7"/>
  <c r="C12" i="7"/>
  <c r="B12" i="7"/>
  <c r="E11" i="7"/>
  <c r="D11" i="7"/>
  <c r="C11" i="7"/>
  <c r="B11" i="7"/>
  <c r="E10" i="7"/>
  <c r="D10" i="7"/>
  <c r="C10" i="7"/>
  <c r="B10" i="7"/>
  <c r="E9" i="7"/>
  <c r="D9" i="7"/>
  <c r="C9" i="7"/>
  <c r="B9" i="7"/>
  <c r="E8" i="7"/>
  <c r="D8" i="7"/>
  <c r="C8" i="7"/>
  <c r="B8" i="7"/>
  <c r="E7" i="7"/>
  <c r="D7" i="7"/>
  <c r="C7" i="7"/>
  <c r="B7" i="7"/>
  <c r="E6" i="7"/>
  <c r="D6" i="7"/>
  <c r="C6" i="7"/>
  <c r="B6" i="7"/>
  <c r="E5" i="7"/>
  <c r="D5" i="7"/>
  <c r="C5" i="7"/>
  <c r="B5" i="7"/>
  <c r="E4" i="7"/>
  <c r="D4" i="7"/>
  <c r="C4" i="7"/>
  <c r="B4" i="7"/>
  <c r="E3" i="7"/>
  <c r="D3" i="7"/>
  <c r="C3" i="7"/>
  <c r="B3" i="7"/>
  <c r="E2" i="7"/>
  <c r="D2" i="7"/>
  <c r="C2" i="7"/>
  <c r="B2" i="7"/>
  <c r="E79" i="6"/>
  <c r="D79" i="6"/>
  <c r="C79" i="6"/>
  <c r="B79" i="6"/>
  <c r="E78" i="6"/>
  <c r="D78" i="6"/>
  <c r="C78" i="6"/>
  <c r="B78" i="6"/>
  <c r="E77" i="6"/>
  <c r="D77" i="6"/>
  <c r="C77" i="6"/>
  <c r="B77" i="6"/>
  <c r="E76" i="6"/>
  <c r="D76" i="6"/>
  <c r="C76" i="6"/>
  <c r="B76" i="6"/>
  <c r="E75" i="6"/>
  <c r="D75" i="6"/>
  <c r="C75" i="6"/>
  <c r="B75" i="6"/>
  <c r="E74" i="6"/>
  <c r="D74" i="6"/>
  <c r="C74" i="6"/>
  <c r="B74" i="6"/>
  <c r="E73" i="6"/>
  <c r="D73" i="6"/>
  <c r="C73" i="6"/>
  <c r="B73" i="6"/>
  <c r="E72" i="6"/>
  <c r="D72" i="6"/>
  <c r="C72" i="6"/>
  <c r="B72" i="6"/>
  <c r="E71" i="6"/>
  <c r="D71" i="6"/>
  <c r="C71" i="6"/>
  <c r="B71" i="6"/>
  <c r="E70" i="6"/>
  <c r="D70" i="6"/>
  <c r="C70" i="6"/>
  <c r="B70" i="6"/>
  <c r="E69" i="6"/>
  <c r="D69" i="6"/>
  <c r="C69" i="6"/>
  <c r="B69" i="6"/>
  <c r="E68" i="6"/>
  <c r="D68" i="6"/>
  <c r="C68" i="6"/>
  <c r="B68" i="6"/>
  <c r="E67" i="6"/>
  <c r="D67" i="6"/>
  <c r="C67" i="6"/>
  <c r="B67" i="6"/>
  <c r="E66" i="6"/>
  <c r="D66" i="6"/>
  <c r="C66" i="6"/>
  <c r="B66" i="6"/>
  <c r="E65" i="6"/>
  <c r="D65" i="6"/>
  <c r="C65" i="6"/>
  <c r="B65" i="6"/>
  <c r="E64" i="6"/>
  <c r="D64" i="6"/>
  <c r="C64" i="6"/>
  <c r="B64" i="6"/>
  <c r="E63" i="6"/>
  <c r="D63" i="6"/>
  <c r="C63" i="6"/>
  <c r="B63" i="6"/>
  <c r="E62" i="6"/>
  <c r="D62" i="6"/>
  <c r="C62" i="6"/>
  <c r="B62" i="6"/>
  <c r="E61" i="6"/>
  <c r="D61" i="6"/>
  <c r="C61" i="6"/>
  <c r="B61" i="6"/>
  <c r="E60" i="6"/>
  <c r="D60" i="6"/>
  <c r="C60" i="6"/>
  <c r="B60" i="6"/>
  <c r="E59" i="6"/>
  <c r="D59" i="6"/>
  <c r="C59" i="6"/>
  <c r="B59" i="6"/>
  <c r="E58" i="6"/>
  <c r="D58" i="6"/>
  <c r="C58" i="6"/>
  <c r="B58" i="6"/>
  <c r="E57" i="6"/>
  <c r="D57" i="6"/>
  <c r="C57" i="6"/>
  <c r="B57" i="6"/>
  <c r="E56" i="6"/>
  <c r="D56" i="6"/>
  <c r="C56" i="6"/>
  <c r="B56" i="6"/>
  <c r="E55" i="6"/>
  <c r="D55" i="6"/>
  <c r="C55" i="6"/>
  <c r="B55" i="6"/>
  <c r="E54" i="6"/>
  <c r="D54" i="6"/>
  <c r="C54" i="6"/>
  <c r="B54" i="6"/>
  <c r="E53" i="6"/>
  <c r="D53" i="6"/>
  <c r="C53" i="6"/>
  <c r="B53" i="6"/>
  <c r="E52" i="6"/>
  <c r="D52" i="6"/>
  <c r="C52" i="6"/>
  <c r="B52" i="6"/>
  <c r="E51" i="6"/>
  <c r="D51" i="6"/>
  <c r="C51" i="6"/>
  <c r="B51" i="6"/>
  <c r="E50" i="6"/>
  <c r="D50" i="6"/>
  <c r="C50" i="6"/>
  <c r="B50" i="6"/>
  <c r="E49" i="6"/>
  <c r="D49" i="6"/>
  <c r="C49" i="6"/>
  <c r="B49" i="6"/>
  <c r="E48" i="6"/>
  <c r="D48" i="6"/>
  <c r="C48" i="6"/>
  <c r="B48" i="6"/>
  <c r="E47" i="6"/>
  <c r="D47" i="6"/>
  <c r="C47" i="6"/>
  <c r="B47" i="6"/>
  <c r="E46" i="6"/>
  <c r="D46" i="6"/>
  <c r="C46" i="6"/>
  <c r="B46" i="6"/>
  <c r="E45" i="6"/>
  <c r="D45" i="6"/>
  <c r="C45" i="6"/>
  <c r="B45" i="6"/>
  <c r="E44" i="6"/>
  <c r="D44" i="6"/>
  <c r="C44" i="6"/>
  <c r="B44" i="6"/>
  <c r="E43" i="6"/>
  <c r="D43" i="6"/>
  <c r="C43" i="6"/>
  <c r="B43" i="6"/>
  <c r="E42" i="6"/>
  <c r="D42" i="6"/>
  <c r="C42" i="6"/>
  <c r="B42" i="6"/>
  <c r="E41" i="6"/>
  <c r="D41" i="6"/>
  <c r="C41" i="6"/>
  <c r="B41" i="6"/>
  <c r="E40" i="6"/>
  <c r="D40" i="6"/>
  <c r="C40" i="6"/>
  <c r="B40" i="6"/>
  <c r="E39" i="6"/>
  <c r="D39" i="6"/>
  <c r="C39" i="6"/>
  <c r="B39" i="6"/>
  <c r="E38" i="6"/>
  <c r="D38" i="6"/>
  <c r="C38" i="6"/>
  <c r="B38" i="6"/>
  <c r="E37" i="6"/>
  <c r="D37" i="6"/>
  <c r="C37" i="6"/>
  <c r="B37" i="6"/>
  <c r="E36" i="6"/>
  <c r="D36" i="6"/>
  <c r="C36" i="6"/>
  <c r="B36" i="6"/>
  <c r="E35" i="6"/>
  <c r="D35" i="6"/>
  <c r="C35" i="6"/>
  <c r="B35" i="6"/>
  <c r="E34" i="6"/>
  <c r="D34" i="6"/>
  <c r="C34" i="6"/>
  <c r="B34" i="6"/>
  <c r="E33" i="6"/>
  <c r="D33" i="6"/>
  <c r="C33" i="6"/>
  <c r="B33" i="6"/>
  <c r="E32" i="6"/>
  <c r="D32" i="6"/>
  <c r="C32" i="6"/>
  <c r="B32" i="6"/>
  <c r="E31" i="6"/>
  <c r="D31" i="6"/>
  <c r="C31" i="6"/>
  <c r="B31" i="6"/>
  <c r="E30" i="6"/>
  <c r="D30" i="6"/>
  <c r="C30" i="6"/>
  <c r="B30" i="6"/>
  <c r="E29" i="6"/>
  <c r="D29" i="6"/>
  <c r="C29" i="6"/>
  <c r="B29" i="6"/>
  <c r="E28" i="6"/>
  <c r="D28" i="6"/>
  <c r="C28" i="6"/>
  <c r="B28" i="6"/>
  <c r="E27" i="6"/>
  <c r="D27" i="6"/>
  <c r="C27" i="6"/>
  <c r="B27" i="6"/>
  <c r="E26" i="6"/>
  <c r="D26" i="6"/>
  <c r="C26" i="6"/>
  <c r="B26" i="6"/>
  <c r="E25" i="6"/>
  <c r="D25" i="6"/>
  <c r="C25" i="6"/>
  <c r="B25" i="6"/>
  <c r="E24" i="6"/>
  <c r="D24" i="6"/>
  <c r="C24" i="6"/>
  <c r="B24" i="6"/>
  <c r="E23" i="6"/>
  <c r="D23" i="6"/>
  <c r="C23" i="6"/>
  <c r="B23" i="6"/>
  <c r="E22" i="6"/>
  <c r="D22" i="6"/>
  <c r="C22" i="6"/>
  <c r="B22" i="6"/>
  <c r="E21" i="6"/>
  <c r="D21" i="6"/>
  <c r="C21" i="6"/>
  <c r="B21" i="6"/>
  <c r="E20" i="6"/>
  <c r="D20" i="6"/>
  <c r="C20" i="6"/>
  <c r="B20" i="6"/>
  <c r="E19" i="6"/>
  <c r="D19" i="6"/>
  <c r="C19" i="6"/>
  <c r="B19" i="6"/>
  <c r="E18" i="6"/>
  <c r="D18" i="6"/>
  <c r="C18" i="6"/>
  <c r="B18" i="6"/>
  <c r="E17" i="6"/>
  <c r="D17" i="6"/>
  <c r="C17" i="6"/>
  <c r="B17" i="6"/>
  <c r="E16" i="6"/>
  <c r="D16" i="6"/>
  <c r="C16" i="6"/>
  <c r="B16" i="6"/>
  <c r="E15" i="6"/>
  <c r="D15" i="6"/>
  <c r="C15" i="6"/>
  <c r="B15" i="6"/>
  <c r="E14" i="6"/>
  <c r="D14" i="6"/>
  <c r="C14" i="6"/>
  <c r="B14" i="6"/>
  <c r="E13" i="6"/>
  <c r="D13" i="6"/>
  <c r="C13" i="6"/>
  <c r="B13" i="6"/>
  <c r="E12" i="6"/>
  <c r="D12" i="6"/>
  <c r="C12" i="6"/>
  <c r="B12" i="6"/>
  <c r="E11" i="6"/>
  <c r="D11" i="6"/>
  <c r="C11" i="6"/>
  <c r="B11" i="6"/>
  <c r="E10" i="6"/>
  <c r="D10" i="6"/>
  <c r="C10" i="6"/>
  <c r="B10" i="6"/>
  <c r="E9" i="6"/>
  <c r="D9" i="6"/>
  <c r="C9" i="6"/>
  <c r="B9" i="6"/>
  <c r="E8" i="6"/>
  <c r="D8" i="6"/>
  <c r="C8" i="6"/>
  <c r="B8" i="6"/>
  <c r="E7" i="6"/>
  <c r="D7" i="6"/>
  <c r="C7" i="6"/>
  <c r="B7" i="6"/>
  <c r="E6" i="6"/>
  <c r="D6" i="6"/>
  <c r="C6" i="6"/>
  <c r="B6" i="6"/>
  <c r="E5" i="6"/>
  <c r="D5" i="6"/>
  <c r="C5" i="6"/>
  <c r="B5" i="6"/>
  <c r="E4" i="6"/>
  <c r="D4" i="6"/>
  <c r="C4" i="6"/>
  <c r="B4" i="6"/>
  <c r="E3" i="6"/>
  <c r="D3" i="6"/>
  <c r="C3" i="6"/>
  <c r="B3" i="6"/>
  <c r="E2" i="6"/>
  <c r="D2" i="6"/>
  <c r="C2" i="6"/>
  <c r="B2" i="6"/>
  <c r="E79" i="3"/>
  <c r="D79" i="3"/>
  <c r="C79" i="3"/>
  <c r="B79" i="3"/>
  <c r="E78" i="3"/>
  <c r="D78" i="3"/>
  <c r="C78" i="3"/>
  <c r="B78" i="3"/>
  <c r="E77" i="3"/>
  <c r="D77" i="3"/>
  <c r="C77" i="3"/>
  <c r="B77" i="3"/>
  <c r="E76" i="3"/>
  <c r="D76" i="3"/>
  <c r="C76" i="3"/>
  <c r="B76" i="3"/>
  <c r="E75" i="3"/>
  <c r="D75" i="3"/>
  <c r="C75" i="3"/>
  <c r="B75" i="3"/>
  <c r="E74" i="3"/>
  <c r="D74" i="3"/>
  <c r="C74" i="3"/>
  <c r="B74" i="3"/>
  <c r="E73" i="3"/>
  <c r="D73" i="3"/>
  <c r="C73" i="3"/>
  <c r="B73" i="3"/>
  <c r="E72" i="3"/>
  <c r="D72" i="3"/>
  <c r="C72" i="3"/>
  <c r="B72" i="3"/>
  <c r="E71" i="3"/>
  <c r="D71" i="3"/>
  <c r="C71" i="3"/>
  <c r="B71" i="3"/>
  <c r="E70" i="3"/>
  <c r="D70" i="3"/>
  <c r="C70" i="3"/>
  <c r="B70" i="3"/>
  <c r="E69" i="3"/>
  <c r="D69" i="3"/>
  <c r="C69" i="3"/>
  <c r="B69" i="3"/>
  <c r="E68" i="3"/>
  <c r="D68" i="3"/>
  <c r="C68" i="3"/>
  <c r="B68" i="3"/>
  <c r="E67" i="3"/>
  <c r="D67" i="3"/>
  <c r="C67" i="3"/>
  <c r="B67" i="3"/>
  <c r="E66" i="3"/>
  <c r="D66" i="3"/>
  <c r="C66" i="3"/>
  <c r="B66" i="3"/>
  <c r="E65" i="3"/>
  <c r="D65" i="3"/>
  <c r="C65" i="3"/>
  <c r="B65" i="3"/>
  <c r="E64" i="3"/>
  <c r="D64" i="3"/>
  <c r="C64" i="3"/>
  <c r="B64" i="3"/>
  <c r="E63" i="3"/>
  <c r="D63" i="3"/>
  <c r="C63" i="3"/>
  <c r="B63" i="3"/>
  <c r="E62" i="3"/>
  <c r="D62" i="3"/>
  <c r="C62" i="3"/>
  <c r="B62" i="3"/>
  <c r="E61" i="3"/>
  <c r="D61" i="3"/>
  <c r="C61" i="3"/>
  <c r="B61" i="3"/>
  <c r="E60" i="3"/>
  <c r="D60" i="3"/>
  <c r="C60" i="3"/>
  <c r="B60" i="3"/>
  <c r="E59" i="3"/>
  <c r="D59" i="3"/>
  <c r="C59" i="3"/>
  <c r="B59" i="3"/>
  <c r="E58" i="3"/>
  <c r="D58" i="3"/>
  <c r="C58" i="3"/>
  <c r="B58" i="3"/>
  <c r="E57" i="3"/>
  <c r="D57" i="3"/>
  <c r="C57" i="3"/>
  <c r="B57" i="3"/>
  <c r="E56" i="3"/>
  <c r="D56" i="3"/>
  <c r="C56" i="3"/>
  <c r="B56" i="3"/>
  <c r="E55" i="3"/>
  <c r="D55" i="3"/>
  <c r="C55" i="3"/>
  <c r="B55" i="3"/>
  <c r="E54" i="3"/>
  <c r="D54" i="3"/>
  <c r="C54" i="3"/>
  <c r="B54" i="3"/>
  <c r="E53" i="3"/>
  <c r="D53" i="3"/>
  <c r="C53" i="3"/>
  <c r="B53" i="3"/>
  <c r="E52" i="3"/>
  <c r="D52" i="3"/>
  <c r="C52" i="3"/>
  <c r="B52" i="3"/>
  <c r="E51" i="3"/>
  <c r="D51" i="3"/>
  <c r="C51" i="3"/>
  <c r="B51" i="3"/>
  <c r="E50" i="3"/>
  <c r="D50" i="3"/>
  <c r="C50" i="3"/>
  <c r="B50" i="3"/>
  <c r="E49" i="3"/>
  <c r="D49" i="3"/>
  <c r="C49" i="3"/>
  <c r="B49" i="3"/>
  <c r="E48" i="3"/>
  <c r="D48" i="3"/>
  <c r="C48" i="3"/>
  <c r="B48" i="3"/>
  <c r="E47" i="3"/>
  <c r="D47" i="3"/>
  <c r="C47" i="3"/>
  <c r="B47" i="3"/>
  <c r="E46" i="3"/>
  <c r="D46" i="3"/>
  <c r="C46" i="3"/>
  <c r="B46" i="3"/>
  <c r="E45" i="3"/>
  <c r="D45" i="3"/>
  <c r="C45" i="3"/>
  <c r="B45" i="3"/>
  <c r="E44" i="3"/>
  <c r="D44" i="3"/>
  <c r="C44" i="3"/>
  <c r="B44" i="3"/>
  <c r="E43" i="3"/>
  <c r="D43" i="3"/>
  <c r="C43" i="3"/>
  <c r="B43" i="3"/>
  <c r="E42" i="3"/>
  <c r="D42" i="3"/>
  <c r="C42" i="3"/>
  <c r="B42" i="3"/>
  <c r="E41" i="3"/>
  <c r="D41" i="3"/>
  <c r="C41" i="3"/>
  <c r="B41" i="3"/>
  <c r="E40" i="3"/>
  <c r="D40" i="3"/>
  <c r="C40" i="3"/>
  <c r="B40" i="3"/>
  <c r="E39" i="3"/>
  <c r="D39" i="3"/>
  <c r="C39" i="3"/>
  <c r="B39" i="3"/>
  <c r="E38" i="3"/>
  <c r="D38" i="3"/>
  <c r="C38" i="3"/>
  <c r="B38" i="3"/>
  <c r="E37" i="3"/>
  <c r="D37" i="3"/>
  <c r="C37" i="3"/>
  <c r="B37" i="3"/>
  <c r="E36" i="3"/>
  <c r="D36" i="3"/>
  <c r="C36" i="3"/>
  <c r="B36" i="3"/>
  <c r="E35" i="3"/>
  <c r="D35" i="3"/>
  <c r="C35" i="3"/>
  <c r="B35" i="3"/>
  <c r="E34" i="3"/>
  <c r="D34" i="3"/>
  <c r="C34" i="3"/>
  <c r="B34" i="3"/>
  <c r="E33" i="3"/>
  <c r="D33" i="3"/>
  <c r="C33" i="3"/>
  <c r="B33" i="3"/>
  <c r="E32" i="3"/>
  <c r="D32" i="3"/>
  <c r="C32" i="3"/>
  <c r="B32" i="3"/>
  <c r="E31" i="3"/>
  <c r="D31" i="3"/>
  <c r="C31" i="3"/>
  <c r="B31" i="3"/>
  <c r="E30" i="3"/>
  <c r="D30" i="3"/>
  <c r="C30" i="3"/>
  <c r="B30" i="3"/>
  <c r="E29" i="3"/>
  <c r="D29" i="3"/>
  <c r="C29" i="3"/>
  <c r="B29" i="3"/>
  <c r="E28" i="3"/>
  <c r="D28" i="3"/>
  <c r="C28" i="3"/>
  <c r="B28" i="3"/>
  <c r="E27" i="3"/>
  <c r="D27" i="3"/>
  <c r="C27" i="3"/>
  <c r="B27" i="3"/>
  <c r="E26" i="3"/>
  <c r="D26" i="3"/>
  <c r="C26" i="3"/>
  <c r="B26" i="3"/>
  <c r="E25" i="3"/>
  <c r="D25" i="3"/>
  <c r="C25" i="3"/>
  <c r="B25" i="3"/>
  <c r="E24" i="3"/>
  <c r="D24" i="3"/>
  <c r="C24" i="3"/>
  <c r="B24" i="3"/>
  <c r="E23" i="3"/>
  <c r="D23" i="3"/>
  <c r="C23" i="3"/>
  <c r="B23" i="3"/>
  <c r="E22" i="3"/>
  <c r="D22" i="3"/>
  <c r="C22" i="3"/>
  <c r="B22" i="3"/>
  <c r="E21" i="3"/>
  <c r="D21" i="3"/>
  <c r="C21" i="3"/>
  <c r="B21" i="3"/>
  <c r="E20" i="3"/>
  <c r="D20" i="3"/>
  <c r="C20" i="3"/>
  <c r="B20" i="3"/>
  <c r="E19" i="3"/>
  <c r="D19" i="3"/>
  <c r="C19" i="3"/>
  <c r="B19" i="3"/>
  <c r="E18" i="3"/>
  <c r="D18" i="3"/>
  <c r="C18" i="3"/>
  <c r="B18" i="3"/>
  <c r="E17" i="3"/>
  <c r="D17" i="3"/>
  <c r="C17" i="3"/>
  <c r="B17" i="3"/>
  <c r="E16" i="3"/>
  <c r="D16" i="3"/>
  <c r="C16" i="3"/>
  <c r="B16" i="3"/>
  <c r="E15" i="3"/>
  <c r="D15" i="3"/>
  <c r="C15" i="3"/>
  <c r="B15" i="3"/>
  <c r="E14" i="3"/>
  <c r="D14" i="3"/>
  <c r="C14" i="3"/>
  <c r="B14" i="3"/>
  <c r="E13" i="3"/>
  <c r="D13" i="3"/>
  <c r="C13" i="3"/>
  <c r="B13" i="3"/>
  <c r="E12" i="3"/>
  <c r="D12" i="3"/>
  <c r="C12" i="3"/>
  <c r="B12" i="3"/>
  <c r="E11" i="3"/>
  <c r="D11" i="3"/>
  <c r="C11" i="3"/>
  <c r="B11" i="3"/>
  <c r="E10" i="3"/>
  <c r="D10" i="3"/>
  <c r="C10" i="3"/>
  <c r="B10" i="3"/>
  <c r="E9" i="3"/>
  <c r="D9" i="3"/>
  <c r="C9" i="3"/>
  <c r="B9" i="3"/>
  <c r="E8" i="3"/>
  <c r="D8" i="3"/>
  <c r="C8" i="3"/>
  <c r="B8" i="3"/>
  <c r="E7" i="3"/>
  <c r="D7" i="3"/>
  <c r="C7" i="3"/>
  <c r="B7" i="3"/>
  <c r="E6" i="3"/>
  <c r="D6" i="3"/>
  <c r="C6" i="3"/>
  <c r="B6" i="3"/>
  <c r="E5" i="3"/>
  <c r="D5" i="3"/>
  <c r="C5" i="3"/>
  <c r="B5" i="3"/>
  <c r="E4" i="3"/>
  <c r="D4" i="3"/>
  <c r="C4" i="3"/>
  <c r="B4" i="3"/>
  <c r="E3" i="3"/>
  <c r="D3" i="3"/>
  <c r="C3" i="3"/>
  <c r="B3" i="3"/>
  <c r="E2" i="3"/>
  <c r="D2" i="3"/>
  <c r="C2" i="3"/>
  <c r="B2" i="3"/>
  <c r="E79" i="2"/>
  <c r="D79" i="2"/>
  <c r="C79" i="2"/>
  <c r="B79" i="2"/>
  <c r="E78" i="2"/>
  <c r="D78" i="2"/>
  <c r="C78" i="2"/>
  <c r="B78" i="2"/>
  <c r="E77" i="2"/>
  <c r="D77" i="2"/>
  <c r="C77" i="2"/>
  <c r="B77" i="2"/>
  <c r="E76" i="2"/>
  <c r="D76" i="2"/>
  <c r="C76" i="2"/>
  <c r="B76" i="2"/>
  <c r="E75" i="2"/>
  <c r="D75" i="2"/>
  <c r="C75" i="2"/>
  <c r="B75" i="2"/>
  <c r="E74" i="2"/>
  <c r="D74" i="2"/>
  <c r="C74" i="2"/>
  <c r="B74" i="2"/>
  <c r="E73" i="2"/>
  <c r="D73" i="2"/>
  <c r="C73" i="2"/>
  <c r="B73" i="2"/>
  <c r="E72" i="2"/>
  <c r="D72" i="2"/>
  <c r="C72" i="2"/>
  <c r="B72" i="2"/>
  <c r="E71" i="2"/>
  <c r="D71" i="2"/>
  <c r="C71" i="2"/>
  <c r="B71" i="2"/>
  <c r="E70" i="2"/>
  <c r="D70" i="2"/>
  <c r="C70" i="2"/>
  <c r="B70" i="2"/>
  <c r="E69" i="2"/>
  <c r="D69" i="2"/>
  <c r="C69" i="2"/>
  <c r="B69" i="2"/>
  <c r="E68" i="2"/>
  <c r="D68" i="2"/>
  <c r="C68" i="2"/>
  <c r="B68" i="2"/>
  <c r="E67" i="2"/>
  <c r="D67" i="2"/>
  <c r="C67" i="2"/>
  <c r="B67" i="2"/>
  <c r="E66" i="2"/>
  <c r="D66" i="2"/>
  <c r="C66" i="2"/>
  <c r="B66" i="2"/>
  <c r="E65" i="2"/>
  <c r="D65" i="2"/>
  <c r="C65" i="2"/>
  <c r="B65" i="2"/>
  <c r="E64" i="2"/>
  <c r="D64" i="2"/>
  <c r="C64" i="2"/>
  <c r="B64" i="2"/>
  <c r="E63" i="2"/>
  <c r="D63" i="2"/>
  <c r="C63" i="2"/>
  <c r="B63" i="2"/>
  <c r="E62" i="2"/>
  <c r="D62" i="2"/>
  <c r="C62" i="2"/>
  <c r="B62" i="2"/>
  <c r="E61" i="2"/>
  <c r="D61" i="2"/>
  <c r="C61" i="2"/>
  <c r="B61" i="2"/>
  <c r="E60" i="2"/>
  <c r="D60" i="2"/>
  <c r="C60" i="2"/>
  <c r="B60" i="2"/>
  <c r="E59" i="2"/>
  <c r="D59" i="2"/>
  <c r="C59" i="2"/>
  <c r="B59" i="2"/>
  <c r="E58" i="2"/>
  <c r="D58" i="2"/>
  <c r="C58" i="2"/>
  <c r="B58" i="2"/>
  <c r="E57" i="2"/>
  <c r="D57" i="2"/>
  <c r="C57" i="2"/>
  <c r="B57" i="2"/>
  <c r="E56" i="2"/>
  <c r="D56" i="2"/>
  <c r="C56" i="2"/>
  <c r="B56" i="2"/>
  <c r="E55" i="2"/>
  <c r="D55" i="2"/>
  <c r="C55" i="2"/>
  <c r="B55" i="2"/>
  <c r="E54" i="2"/>
  <c r="D54" i="2"/>
  <c r="C54" i="2"/>
  <c r="B54" i="2"/>
  <c r="E53" i="2"/>
  <c r="D53" i="2"/>
  <c r="C53" i="2"/>
  <c r="B53" i="2"/>
  <c r="E52" i="2"/>
  <c r="D52" i="2"/>
  <c r="C52" i="2"/>
  <c r="B52" i="2"/>
  <c r="E51" i="2"/>
  <c r="D51" i="2"/>
  <c r="C51" i="2"/>
  <c r="B51" i="2"/>
  <c r="E50" i="2"/>
  <c r="D50" i="2"/>
  <c r="C50" i="2"/>
  <c r="B50" i="2"/>
  <c r="E49" i="2"/>
  <c r="D49" i="2"/>
  <c r="C49" i="2"/>
  <c r="B49" i="2"/>
  <c r="E48" i="2"/>
  <c r="D48" i="2"/>
  <c r="C48" i="2"/>
  <c r="B48" i="2"/>
  <c r="E47" i="2"/>
  <c r="D47" i="2"/>
  <c r="C47" i="2"/>
  <c r="B47" i="2"/>
  <c r="E46" i="2"/>
  <c r="D46" i="2"/>
  <c r="C46" i="2"/>
  <c r="B46" i="2"/>
  <c r="E45" i="2"/>
  <c r="D45" i="2"/>
  <c r="C45" i="2"/>
  <c r="B45" i="2"/>
  <c r="E44" i="2"/>
  <c r="D44" i="2"/>
  <c r="C44" i="2"/>
  <c r="B44" i="2"/>
  <c r="E43" i="2"/>
  <c r="D43" i="2"/>
  <c r="C43" i="2"/>
  <c r="B43" i="2"/>
  <c r="E42" i="2"/>
  <c r="D42" i="2"/>
  <c r="C42" i="2"/>
  <c r="B42" i="2"/>
  <c r="E41" i="2"/>
  <c r="D41" i="2"/>
  <c r="C41" i="2"/>
  <c r="B41" i="2"/>
  <c r="E40" i="2"/>
  <c r="D40" i="2"/>
  <c r="C40" i="2"/>
  <c r="B40" i="2"/>
  <c r="E39" i="2"/>
  <c r="D39" i="2"/>
  <c r="C39" i="2"/>
  <c r="B39" i="2"/>
  <c r="E38" i="2"/>
  <c r="D38" i="2"/>
  <c r="C38" i="2"/>
  <c r="B38" i="2"/>
  <c r="E37" i="2"/>
  <c r="D37" i="2"/>
  <c r="C37" i="2"/>
  <c r="B37" i="2"/>
  <c r="E36" i="2"/>
  <c r="D36" i="2"/>
  <c r="C36" i="2"/>
  <c r="B36" i="2"/>
  <c r="E35" i="2"/>
  <c r="D35" i="2"/>
  <c r="C35" i="2"/>
  <c r="B35" i="2"/>
  <c r="E34" i="2"/>
  <c r="D34" i="2"/>
  <c r="C34" i="2"/>
  <c r="B34" i="2"/>
  <c r="E33" i="2"/>
  <c r="D33" i="2"/>
  <c r="C33" i="2"/>
  <c r="B33" i="2"/>
  <c r="E32" i="2"/>
  <c r="D32" i="2"/>
  <c r="C32" i="2"/>
  <c r="B32" i="2"/>
  <c r="E31" i="2"/>
  <c r="D31" i="2"/>
  <c r="C31" i="2"/>
  <c r="B31" i="2"/>
  <c r="E30" i="2"/>
  <c r="D30" i="2"/>
  <c r="C30" i="2"/>
  <c r="B30" i="2"/>
  <c r="E29" i="2"/>
  <c r="D29" i="2"/>
  <c r="C29" i="2"/>
  <c r="B29" i="2"/>
  <c r="E28" i="2"/>
  <c r="D28" i="2"/>
  <c r="C28" i="2"/>
  <c r="B28" i="2"/>
  <c r="E27" i="2"/>
  <c r="D27" i="2"/>
  <c r="C27" i="2"/>
  <c r="B27" i="2"/>
  <c r="E26" i="2"/>
  <c r="D26" i="2"/>
  <c r="C26" i="2"/>
  <c r="B26" i="2"/>
  <c r="E25" i="2"/>
  <c r="D25" i="2"/>
  <c r="C25" i="2"/>
  <c r="B25" i="2"/>
  <c r="E24" i="2"/>
  <c r="D24" i="2"/>
  <c r="C24" i="2"/>
  <c r="B24" i="2"/>
  <c r="E23" i="2"/>
  <c r="D23" i="2"/>
  <c r="C23" i="2"/>
  <c r="B23" i="2"/>
  <c r="E22" i="2"/>
  <c r="D22" i="2"/>
  <c r="C22" i="2"/>
  <c r="B22" i="2"/>
  <c r="E21" i="2"/>
  <c r="D21" i="2"/>
  <c r="C21" i="2"/>
  <c r="B21" i="2"/>
  <c r="E20" i="2"/>
  <c r="D20" i="2"/>
  <c r="C20" i="2"/>
  <c r="B20" i="2"/>
  <c r="E19" i="2"/>
  <c r="D19" i="2"/>
  <c r="C19" i="2"/>
  <c r="B19" i="2"/>
  <c r="E18" i="2"/>
  <c r="D18" i="2"/>
  <c r="C18" i="2"/>
  <c r="B18" i="2"/>
  <c r="E17" i="2"/>
  <c r="D17" i="2"/>
  <c r="C17" i="2"/>
  <c r="B17" i="2"/>
  <c r="E16" i="2"/>
  <c r="D16" i="2"/>
  <c r="C16" i="2"/>
  <c r="B16" i="2"/>
  <c r="E15" i="2"/>
  <c r="D15" i="2"/>
  <c r="C15" i="2"/>
  <c r="B15" i="2"/>
  <c r="E14" i="2"/>
  <c r="D14" i="2"/>
  <c r="C14" i="2"/>
  <c r="B14" i="2"/>
  <c r="E13" i="2"/>
  <c r="D13" i="2"/>
  <c r="C13" i="2"/>
  <c r="B13" i="2"/>
  <c r="E12" i="2"/>
  <c r="D12" i="2"/>
  <c r="C12" i="2"/>
  <c r="B12" i="2"/>
  <c r="E11" i="2"/>
  <c r="D11" i="2"/>
  <c r="C11" i="2"/>
  <c r="B11" i="2"/>
  <c r="E10" i="2"/>
  <c r="D10" i="2"/>
  <c r="C10" i="2"/>
  <c r="B10" i="2"/>
  <c r="E9" i="2"/>
  <c r="D9" i="2"/>
  <c r="C9" i="2"/>
  <c r="B9" i="2"/>
  <c r="E8" i="2"/>
  <c r="D8" i="2"/>
  <c r="C8" i="2"/>
  <c r="B8" i="2"/>
  <c r="E7" i="2"/>
  <c r="D7" i="2"/>
  <c r="C7" i="2"/>
  <c r="B7" i="2"/>
  <c r="E6" i="2"/>
  <c r="D6" i="2"/>
  <c r="C6" i="2"/>
  <c r="B6" i="2"/>
  <c r="E5" i="2"/>
  <c r="D5" i="2"/>
  <c r="C5" i="2"/>
  <c r="B5" i="2"/>
  <c r="E4" i="2"/>
  <c r="D4" i="2"/>
  <c r="C4" i="2"/>
  <c r="B4" i="2"/>
  <c r="E3" i="2"/>
  <c r="D3" i="2"/>
  <c r="C3" i="2"/>
  <c r="B3" i="2"/>
  <c r="E2" i="2"/>
  <c r="D2" i="2"/>
  <c r="C2" i="2"/>
  <c r="B2" i="2"/>
  <c r="D6" i="8" l="1"/>
  <c r="C9" i="8"/>
  <c r="D14" i="8"/>
  <c r="C17" i="8"/>
  <c r="D22" i="8"/>
  <c r="C25" i="8"/>
  <c r="D30" i="8"/>
  <c r="C33" i="8"/>
  <c r="D38" i="8"/>
  <c r="C41" i="8"/>
  <c r="D46" i="8"/>
  <c r="C49" i="8"/>
  <c r="D54" i="8"/>
  <c r="C57" i="8"/>
  <c r="D62" i="8"/>
  <c r="C65" i="8"/>
  <c r="D70" i="8"/>
  <c r="C73" i="8"/>
  <c r="D78" i="8"/>
  <c r="C2" i="8"/>
  <c r="C10" i="8"/>
  <c r="C18" i="8"/>
  <c r="C26" i="8"/>
  <c r="C34" i="8"/>
  <c r="C42" i="8"/>
  <c r="C50" i="8"/>
  <c r="C58" i="8"/>
  <c r="C66" i="8"/>
  <c r="C74" i="8"/>
</calcChain>
</file>

<file path=xl/sharedStrings.xml><?xml version="1.0" encoding="utf-8"?>
<sst xmlns="http://schemas.openxmlformats.org/spreadsheetml/2006/main" count="11395" uniqueCount="1306">
  <si>
    <t>Order_ID</t>
  </si>
  <si>
    <t>Date</t>
  </si>
  <si>
    <t>Region</t>
  </si>
  <si>
    <t>Category</t>
  </si>
  <si>
    <t>Sub_Category</t>
  </si>
  <si>
    <t>Product</t>
  </si>
  <si>
    <t>Customer</t>
  </si>
  <si>
    <t>Segment</t>
  </si>
  <si>
    <t>Sales</t>
  </si>
  <si>
    <t>Quantity</t>
  </si>
  <si>
    <t>Profit</t>
  </si>
  <si>
    <t>Discount</t>
  </si>
  <si>
    <t>ORD00002</t>
  </si>
  <si>
    <t>West</t>
  </si>
  <si>
    <t>Technology</t>
  </si>
  <si>
    <t>SubCat</t>
  </si>
  <si>
    <t>Product2</t>
  </si>
  <si>
    <t>Cust2</t>
  </si>
  <si>
    <t>Consumer</t>
  </si>
  <si>
    <t>ORD00003</t>
  </si>
  <si>
    <t>South</t>
  </si>
  <si>
    <t>Office Supplies</t>
  </si>
  <si>
    <t>Product3</t>
  </si>
  <si>
    <t>Cust3</t>
  </si>
  <si>
    <t>ORD00004</t>
  </si>
  <si>
    <t>Product4</t>
  </si>
  <si>
    <t>Cust4</t>
  </si>
  <si>
    <t>ORD00005</t>
  </si>
  <si>
    <t>East</t>
  </si>
  <si>
    <t>Product5</t>
  </si>
  <si>
    <t>Cust5</t>
  </si>
  <si>
    <t>ORD00006</t>
  </si>
  <si>
    <t>Furniture</t>
  </si>
  <si>
    <t>Product6</t>
  </si>
  <si>
    <t>Cust6</t>
  </si>
  <si>
    <t>Home Office</t>
  </si>
  <si>
    <t>ORD00007</t>
  </si>
  <si>
    <t>Product7</t>
  </si>
  <si>
    <t>Cust7</t>
  </si>
  <si>
    <t>Corporate</t>
  </si>
  <si>
    <t>ORD00008</t>
  </si>
  <si>
    <t>North</t>
  </si>
  <si>
    <t>Product8</t>
  </si>
  <si>
    <t>Cust8</t>
  </si>
  <si>
    <t>ORD00009</t>
  </si>
  <si>
    <t>Product9</t>
  </si>
  <si>
    <t>Cust9</t>
  </si>
  <si>
    <t>ORD00010</t>
  </si>
  <si>
    <t>Product10</t>
  </si>
  <si>
    <t>Cust10</t>
  </si>
  <si>
    <t>ORD00011</t>
  </si>
  <si>
    <t>Product11</t>
  </si>
  <si>
    <t>Cust11</t>
  </si>
  <si>
    <t>ORD00012</t>
  </si>
  <si>
    <t>Product12</t>
  </si>
  <si>
    <t>Cust12</t>
  </si>
  <si>
    <t>ORD00013</t>
  </si>
  <si>
    <t>Product13</t>
  </si>
  <si>
    <t>Cust13</t>
  </si>
  <si>
    <t>ORD00014</t>
  </si>
  <si>
    <t>Product14</t>
  </si>
  <si>
    <t>Cust14</t>
  </si>
  <si>
    <t>ORD00015</t>
  </si>
  <si>
    <t>Product15</t>
  </si>
  <si>
    <t>Cust15</t>
  </si>
  <si>
    <t>ORD00016</t>
  </si>
  <si>
    <t>Product16</t>
  </si>
  <si>
    <t>Cust16</t>
  </si>
  <si>
    <t>ORD00017</t>
  </si>
  <si>
    <t>Product17</t>
  </si>
  <si>
    <t>Cust17</t>
  </si>
  <si>
    <t>ORD00018</t>
  </si>
  <si>
    <t>Product18</t>
  </si>
  <si>
    <t>Cust18</t>
  </si>
  <si>
    <t>ORD00019</t>
  </si>
  <si>
    <t>Product19</t>
  </si>
  <si>
    <t>Cust19</t>
  </si>
  <si>
    <t>ORD00020</t>
  </si>
  <si>
    <t>Product20</t>
  </si>
  <si>
    <t>Cust20</t>
  </si>
  <si>
    <t>ORD00021</t>
  </si>
  <si>
    <t>Product21</t>
  </si>
  <si>
    <t>Cust21</t>
  </si>
  <si>
    <t>ORD00022</t>
  </si>
  <si>
    <t>Product22</t>
  </si>
  <si>
    <t>Cust22</t>
  </si>
  <si>
    <t>ORD00023</t>
  </si>
  <si>
    <t>Product23</t>
  </si>
  <si>
    <t>Cust23</t>
  </si>
  <si>
    <t>ORD00024</t>
  </si>
  <si>
    <t>Product24</t>
  </si>
  <si>
    <t>Cust24</t>
  </si>
  <si>
    <t>ORD00025</t>
  </si>
  <si>
    <t>Product25</t>
  </si>
  <si>
    <t>Cust25</t>
  </si>
  <si>
    <t>ORD00026</t>
  </si>
  <si>
    <t>Product26</t>
  </si>
  <si>
    <t>Cust26</t>
  </si>
  <si>
    <t>ORD00027</t>
  </si>
  <si>
    <t>Product27</t>
  </si>
  <si>
    <t>Cust27</t>
  </si>
  <si>
    <t>ORD00028</t>
  </si>
  <si>
    <t>Product28</t>
  </si>
  <si>
    <t>Cust28</t>
  </si>
  <si>
    <t>ORD00029</t>
  </si>
  <si>
    <t>Product29</t>
  </si>
  <si>
    <t>Cust29</t>
  </si>
  <si>
    <t>ORD00030</t>
  </si>
  <si>
    <t>Product30</t>
  </si>
  <si>
    <t>Cust30</t>
  </si>
  <si>
    <t>ORD00031</t>
  </si>
  <si>
    <t>Product31</t>
  </si>
  <si>
    <t>Cust31</t>
  </si>
  <si>
    <t>ORD00032</t>
  </si>
  <si>
    <t>Product32</t>
  </si>
  <si>
    <t>Cust32</t>
  </si>
  <si>
    <t>ORD00033</t>
  </si>
  <si>
    <t>Product33</t>
  </si>
  <si>
    <t>Cust33</t>
  </si>
  <si>
    <t>ORD00034</t>
  </si>
  <si>
    <t>Product34</t>
  </si>
  <si>
    <t>Cust34</t>
  </si>
  <si>
    <t>ORD00035</t>
  </si>
  <si>
    <t>Product35</t>
  </si>
  <si>
    <t>Cust35</t>
  </si>
  <si>
    <t>ORD00036</t>
  </si>
  <si>
    <t>Product36</t>
  </si>
  <si>
    <t>Cust36</t>
  </si>
  <si>
    <t>ORD00037</t>
  </si>
  <si>
    <t>Product37</t>
  </si>
  <si>
    <t>Cust37</t>
  </si>
  <si>
    <t>ORD00038</t>
  </si>
  <si>
    <t>Product38</t>
  </si>
  <si>
    <t>Cust38</t>
  </si>
  <si>
    <t>ORD00039</t>
  </si>
  <si>
    <t>Product39</t>
  </si>
  <si>
    <t>Cust39</t>
  </si>
  <si>
    <t>ORD00040</t>
  </si>
  <si>
    <t>Product40</t>
  </si>
  <si>
    <t>Cust40</t>
  </si>
  <si>
    <t>ORD00041</t>
  </si>
  <si>
    <t>Product41</t>
  </si>
  <si>
    <t>Cust41</t>
  </si>
  <si>
    <t>ORD00042</t>
  </si>
  <si>
    <t>Product42</t>
  </si>
  <si>
    <t>Cust42</t>
  </si>
  <si>
    <t>ORD00043</t>
  </si>
  <si>
    <t>Product43</t>
  </si>
  <si>
    <t>Cust43</t>
  </si>
  <si>
    <t>ORD00044</t>
  </si>
  <si>
    <t>Product44</t>
  </si>
  <si>
    <t>Cust44</t>
  </si>
  <si>
    <t>ORD00045</t>
  </si>
  <si>
    <t>Product45</t>
  </si>
  <si>
    <t>Cust45</t>
  </si>
  <si>
    <t>ORD00046</t>
  </si>
  <si>
    <t>Product46</t>
  </si>
  <si>
    <t>Cust46</t>
  </si>
  <si>
    <t>ORD00047</t>
  </si>
  <si>
    <t>Product47</t>
  </si>
  <si>
    <t>Cust47</t>
  </si>
  <si>
    <t>ORD00048</t>
  </si>
  <si>
    <t>Product48</t>
  </si>
  <si>
    <t>Cust48</t>
  </si>
  <si>
    <t>ORD00049</t>
  </si>
  <si>
    <t>Product49</t>
  </si>
  <si>
    <t>Cust49</t>
  </si>
  <si>
    <t>ORD00050</t>
  </si>
  <si>
    <t>Product50</t>
  </si>
  <si>
    <t>Cust50</t>
  </si>
  <si>
    <t>ORD00051</t>
  </si>
  <si>
    <t>Product51</t>
  </si>
  <si>
    <t>Cust51</t>
  </si>
  <si>
    <t>ORD00052</t>
  </si>
  <si>
    <t>Product52</t>
  </si>
  <si>
    <t>Cust52</t>
  </si>
  <si>
    <t>ORD00053</t>
  </si>
  <si>
    <t>Product53</t>
  </si>
  <si>
    <t>Cust53</t>
  </si>
  <si>
    <t>ORD00054</t>
  </si>
  <si>
    <t>Product54</t>
  </si>
  <si>
    <t>Cust54</t>
  </si>
  <si>
    <t>ORD00055</t>
  </si>
  <si>
    <t>Product55</t>
  </si>
  <si>
    <t>Cust55</t>
  </si>
  <si>
    <t>ORD00056</t>
  </si>
  <si>
    <t>Product56</t>
  </si>
  <si>
    <t>Cust56</t>
  </si>
  <si>
    <t>ORD00057</t>
  </si>
  <si>
    <t>Product57</t>
  </si>
  <si>
    <t>Cust57</t>
  </si>
  <si>
    <t>ORD00058</t>
  </si>
  <si>
    <t>Product58</t>
  </si>
  <si>
    <t>Cust58</t>
  </si>
  <si>
    <t>ORD00059</t>
  </si>
  <si>
    <t>Product59</t>
  </si>
  <si>
    <t>Cust59</t>
  </si>
  <si>
    <t>ORD00060</t>
  </si>
  <si>
    <t>Product60</t>
  </si>
  <si>
    <t>Cust60</t>
  </si>
  <si>
    <t>ORD00061</t>
  </si>
  <si>
    <t>Product61</t>
  </si>
  <si>
    <t>Cust61</t>
  </si>
  <si>
    <t>ORD00062</t>
  </si>
  <si>
    <t>Product62</t>
  </si>
  <si>
    <t>Cust62</t>
  </si>
  <si>
    <t>ORD00063</t>
  </si>
  <si>
    <t>Product63</t>
  </si>
  <si>
    <t>Cust63</t>
  </si>
  <si>
    <t>ORD00064</t>
  </si>
  <si>
    <t>Product64</t>
  </si>
  <si>
    <t>Cust64</t>
  </si>
  <si>
    <t>ORD00065</t>
  </si>
  <si>
    <t>Product65</t>
  </si>
  <si>
    <t>Cust65</t>
  </si>
  <si>
    <t>ORD00066</t>
  </si>
  <si>
    <t>Product66</t>
  </si>
  <si>
    <t>Cust66</t>
  </si>
  <si>
    <t>ORD00067</t>
  </si>
  <si>
    <t>Product67</t>
  </si>
  <si>
    <t>Cust67</t>
  </si>
  <si>
    <t>ORD00068</t>
  </si>
  <si>
    <t>Product68</t>
  </si>
  <si>
    <t>Cust68</t>
  </si>
  <si>
    <t>ORD00069</t>
  </si>
  <si>
    <t>Product69</t>
  </si>
  <si>
    <t>Cust69</t>
  </si>
  <si>
    <t>ORD00070</t>
  </si>
  <si>
    <t>Product70</t>
  </si>
  <si>
    <t>Cust70</t>
  </si>
  <si>
    <t>ORD00071</t>
  </si>
  <si>
    <t>Product71</t>
  </si>
  <si>
    <t>Cust71</t>
  </si>
  <si>
    <t>ORD00072</t>
  </si>
  <si>
    <t>Product72</t>
  </si>
  <si>
    <t>Cust72</t>
  </si>
  <si>
    <t>ORD00073</t>
  </si>
  <si>
    <t>Product73</t>
  </si>
  <si>
    <t>Cust73</t>
  </si>
  <si>
    <t>ORD00074</t>
  </si>
  <si>
    <t>Product74</t>
  </si>
  <si>
    <t>Cust74</t>
  </si>
  <si>
    <t>ORD00075</t>
  </si>
  <si>
    <t>Product75</t>
  </si>
  <si>
    <t>Cust75</t>
  </si>
  <si>
    <t>ORD00076</t>
  </si>
  <si>
    <t>Product76</t>
  </si>
  <si>
    <t>Cust76</t>
  </si>
  <si>
    <t>ORD00077</t>
  </si>
  <si>
    <t>Product77</t>
  </si>
  <si>
    <t>Cust77</t>
  </si>
  <si>
    <t>ORD00078</t>
  </si>
  <si>
    <t>Product78</t>
  </si>
  <si>
    <t>Cust78</t>
  </si>
  <si>
    <t>ORD00079</t>
  </si>
  <si>
    <t>Product79</t>
  </si>
  <si>
    <t>Cust79</t>
  </si>
  <si>
    <t>ORD00080</t>
  </si>
  <si>
    <t>Product80</t>
  </si>
  <si>
    <t>Cust80</t>
  </si>
  <si>
    <t>ORD00081</t>
  </si>
  <si>
    <t>Product81</t>
  </si>
  <si>
    <t>Cust81</t>
  </si>
  <si>
    <t>ORD00082</t>
  </si>
  <si>
    <t>Product82</t>
  </si>
  <si>
    <t>Cust82</t>
  </si>
  <si>
    <t>ORD00083</t>
  </si>
  <si>
    <t>Product83</t>
  </si>
  <si>
    <t>Cust83</t>
  </si>
  <si>
    <t>ORD00084</t>
  </si>
  <si>
    <t>Product84</t>
  </si>
  <si>
    <t>Cust84</t>
  </si>
  <si>
    <t>ORD00085</t>
  </si>
  <si>
    <t>Product85</t>
  </si>
  <si>
    <t>Cust85</t>
  </si>
  <si>
    <t>ORD00086</t>
  </si>
  <si>
    <t>Product86</t>
  </si>
  <si>
    <t>Cust86</t>
  </si>
  <si>
    <t>ORD00087</t>
  </si>
  <si>
    <t>Product87</t>
  </si>
  <si>
    <t>Cust87</t>
  </si>
  <si>
    <t>ORD00088</t>
  </si>
  <si>
    <t>Product88</t>
  </si>
  <si>
    <t>Cust88</t>
  </si>
  <si>
    <t>ORD00089</t>
  </si>
  <si>
    <t>Product89</t>
  </si>
  <si>
    <t>Cust89</t>
  </si>
  <si>
    <t>ORD00090</t>
  </si>
  <si>
    <t>Product90</t>
  </si>
  <si>
    <t>Cust90</t>
  </si>
  <si>
    <t>ORD00091</t>
  </si>
  <si>
    <t>Product91</t>
  </si>
  <si>
    <t>Cust91</t>
  </si>
  <si>
    <t>ORD00092</t>
  </si>
  <si>
    <t>Product92</t>
  </si>
  <si>
    <t>Cust92</t>
  </si>
  <si>
    <t>ORD00093</t>
  </si>
  <si>
    <t>Product93</t>
  </si>
  <si>
    <t>Cust93</t>
  </si>
  <si>
    <t>ORD00094</t>
  </si>
  <si>
    <t>Product94</t>
  </si>
  <si>
    <t>Cust94</t>
  </si>
  <si>
    <t>ORD00095</t>
  </si>
  <si>
    <t>Product95</t>
  </si>
  <si>
    <t>Cust95</t>
  </si>
  <si>
    <t>ORD00096</t>
  </si>
  <si>
    <t>Product96</t>
  </si>
  <si>
    <t>Cust96</t>
  </si>
  <si>
    <t>ORD00097</t>
  </si>
  <si>
    <t>Product97</t>
  </si>
  <si>
    <t>Cust97</t>
  </si>
  <si>
    <t>ORD00098</t>
  </si>
  <si>
    <t>Product98</t>
  </si>
  <si>
    <t>Cust98</t>
  </si>
  <si>
    <t>ORD00099</t>
  </si>
  <si>
    <t>Product99</t>
  </si>
  <si>
    <t>Cust99</t>
  </si>
  <si>
    <t>ORD00100</t>
  </si>
  <si>
    <t>Product100</t>
  </si>
  <si>
    <t>Cust100</t>
  </si>
  <si>
    <t>ORD00101</t>
  </si>
  <si>
    <t>Product101</t>
  </si>
  <si>
    <t>Cust101</t>
  </si>
  <si>
    <t>ORD00102</t>
  </si>
  <si>
    <t>Product102</t>
  </si>
  <si>
    <t>Cust102</t>
  </si>
  <si>
    <t>ORD00103</t>
  </si>
  <si>
    <t>Product103</t>
  </si>
  <si>
    <t>Cust103</t>
  </si>
  <si>
    <t>ORD00104</t>
  </si>
  <si>
    <t>Product104</t>
  </si>
  <si>
    <t>Cust104</t>
  </si>
  <si>
    <t>ORD00105</t>
  </si>
  <si>
    <t>Product105</t>
  </si>
  <si>
    <t>Cust105</t>
  </si>
  <si>
    <t>ORD00106</t>
  </si>
  <si>
    <t>Product106</t>
  </si>
  <si>
    <t>Cust106</t>
  </si>
  <si>
    <t>ORD00107</t>
  </si>
  <si>
    <t>Product107</t>
  </si>
  <si>
    <t>Cust107</t>
  </si>
  <si>
    <t>ORD00108</t>
  </si>
  <si>
    <t>Product108</t>
  </si>
  <si>
    <t>Cust108</t>
  </si>
  <si>
    <t>ORD00109</t>
  </si>
  <si>
    <t>Product109</t>
  </si>
  <si>
    <t>Cust109</t>
  </si>
  <si>
    <t>ORD00110</t>
  </si>
  <si>
    <t>Product110</t>
  </si>
  <si>
    <t>Cust110</t>
  </si>
  <si>
    <t>ORD00111</t>
  </si>
  <si>
    <t>Product111</t>
  </si>
  <si>
    <t>Cust111</t>
  </si>
  <si>
    <t>ORD00112</t>
  </si>
  <si>
    <t>Product112</t>
  </si>
  <si>
    <t>Cust112</t>
  </si>
  <si>
    <t>ORD00113</t>
  </si>
  <si>
    <t>Product113</t>
  </si>
  <si>
    <t>Cust113</t>
  </si>
  <si>
    <t>ORD00114</t>
  </si>
  <si>
    <t>Product114</t>
  </si>
  <si>
    <t>Cust114</t>
  </si>
  <si>
    <t>ORD00115</t>
  </si>
  <si>
    <t>Product115</t>
  </si>
  <si>
    <t>Cust115</t>
  </si>
  <si>
    <t>ORD00116</t>
  </si>
  <si>
    <t>Product116</t>
  </si>
  <si>
    <t>Cust116</t>
  </si>
  <si>
    <t>ORD00117</t>
  </si>
  <si>
    <t>Product117</t>
  </si>
  <si>
    <t>Cust117</t>
  </si>
  <si>
    <t>ORD00118</t>
  </si>
  <si>
    <t>Product118</t>
  </si>
  <si>
    <t>Cust118</t>
  </si>
  <si>
    <t>ORD00119</t>
  </si>
  <si>
    <t>Product119</t>
  </si>
  <si>
    <t>Cust119</t>
  </si>
  <si>
    <t>ORD00120</t>
  </si>
  <si>
    <t>Product120</t>
  </si>
  <si>
    <t>Cust120</t>
  </si>
  <si>
    <t>ORD00121</t>
  </si>
  <si>
    <t>Product121</t>
  </si>
  <si>
    <t>Cust121</t>
  </si>
  <si>
    <t>ORD00122</t>
  </si>
  <si>
    <t>Product122</t>
  </si>
  <si>
    <t>Cust122</t>
  </si>
  <si>
    <t>ORD00123</t>
  </si>
  <si>
    <t>Product123</t>
  </si>
  <si>
    <t>Cust123</t>
  </si>
  <si>
    <t>ORD00124</t>
  </si>
  <si>
    <t>Product124</t>
  </si>
  <si>
    <t>Cust124</t>
  </si>
  <si>
    <t>ORD00125</t>
  </si>
  <si>
    <t>Product125</t>
  </si>
  <si>
    <t>Cust125</t>
  </si>
  <si>
    <t>ORD00126</t>
  </si>
  <si>
    <t>Product126</t>
  </si>
  <si>
    <t>Cust126</t>
  </si>
  <si>
    <t>ORD00127</t>
  </si>
  <si>
    <t>Product127</t>
  </si>
  <si>
    <t>Cust127</t>
  </si>
  <si>
    <t>ORD00128</t>
  </si>
  <si>
    <t>Product128</t>
  </si>
  <si>
    <t>Cust128</t>
  </si>
  <si>
    <t>ORD00129</t>
  </si>
  <si>
    <t>Product129</t>
  </si>
  <si>
    <t>Cust129</t>
  </si>
  <si>
    <t>ORD00130</t>
  </si>
  <si>
    <t>Product130</t>
  </si>
  <si>
    <t>Cust130</t>
  </si>
  <si>
    <t>ORD00131</t>
  </si>
  <si>
    <t>Product131</t>
  </si>
  <si>
    <t>Cust131</t>
  </si>
  <si>
    <t>ORD00132</t>
  </si>
  <si>
    <t>Product132</t>
  </si>
  <si>
    <t>Cust132</t>
  </si>
  <si>
    <t>ORD00133</t>
  </si>
  <si>
    <t>Product133</t>
  </si>
  <si>
    <t>Cust133</t>
  </si>
  <si>
    <t>ORD00134</t>
  </si>
  <si>
    <t>Product134</t>
  </si>
  <si>
    <t>Cust134</t>
  </si>
  <si>
    <t>ORD00135</t>
  </si>
  <si>
    <t>Product135</t>
  </si>
  <si>
    <t>Cust135</t>
  </si>
  <si>
    <t>ORD00136</t>
  </si>
  <si>
    <t>Product136</t>
  </si>
  <si>
    <t>Cust136</t>
  </si>
  <si>
    <t>ORD00137</t>
  </si>
  <si>
    <t>Product137</t>
  </si>
  <si>
    <t>Cust137</t>
  </si>
  <si>
    <t>ORD00138</t>
  </si>
  <si>
    <t>Product138</t>
  </si>
  <si>
    <t>Cust138</t>
  </si>
  <si>
    <t>ORD00139</t>
  </si>
  <si>
    <t>Product139</t>
  </si>
  <si>
    <t>Cust139</t>
  </si>
  <si>
    <t>ORD00140</t>
  </si>
  <si>
    <t>Product140</t>
  </si>
  <si>
    <t>Cust140</t>
  </si>
  <si>
    <t>ORD00141</t>
  </si>
  <si>
    <t>Product141</t>
  </si>
  <si>
    <t>Cust141</t>
  </si>
  <si>
    <t>ORD00142</t>
  </si>
  <si>
    <t>Product142</t>
  </si>
  <si>
    <t>Cust142</t>
  </si>
  <si>
    <t>ORD00143</t>
  </si>
  <si>
    <t>Product143</t>
  </si>
  <si>
    <t>Cust143</t>
  </si>
  <si>
    <t>ORD00144</t>
  </si>
  <si>
    <t>Product144</t>
  </si>
  <si>
    <t>Cust144</t>
  </si>
  <si>
    <t>ORD00145</t>
  </si>
  <si>
    <t>Product145</t>
  </si>
  <si>
    <t>Cust145</t>
  </si>
  <si>
    <t>ORD00146</t>
  </si>
  <si>
    <t>Product146</t>
  </si>
  <si>
    <t>Cust146</t>
  </si>
  <si>
    <t>ORD00147</t>
  </si>
  <si>
    <t>Product147</t>
  </si>
  <si>
    <t>Cust147</t>
  </si>
  <si>
    <t>ORD00148</t>
  </si>
  <si>
    <t>Product148</t>
  </si>
  <si>
    <t>Cust148</t>
  </si>
  <si>
    <t>ORD00149</t>
  </si>
  <si>
    <t>Product149</t>
  </si>
  <si>
    <t>Cust149</t>
  </si>
  <si>
    <t>ORD00150</t>
  </si>
  <si>
    <t>Product150</t>
  </si>
  <si>
    <t>Cust150</t>
  </si>
  <si>
    <t>ORD00151</t>
  </si>
  <si>
    <t>Product151</t>
  </si>
  <si>
    <t>Cust151</t>
  </si>
  <si>
    <t>ORD00152</t>
  </si>
  <si>
    <t>Product152</t>
  </si>
  <si>
    <t>Cust152</t>
  </si>
  <si>
    <t>ORD00153</t>
  </si>
  <si>
    <t>Product153</t>
  </si>
  <si>
    <t>Cust153</t>
  </si>
  <si>
    <t>ORD00154</t>
  </si>
  <si>
    <t>Product154</t>
  </si>
  <si>
    <t>Cust154</t>
  </si>
  <si>
    <t>ORD00155</t>
  </si>
  <si>
    <t>Product155</t>
  </si>
  <si>
    <t>Cust155</t>
  </si>
  <si>
    <t>ORD00156</t>
  </si>
  <si>
    <t>Product156</t>
  </si>
  <si>
    <t>Cust156</t>
  </si>
  <si>
    <t>ORD00157</t>
  </si>
  <si>
    <t>Product157</t>
  </si>
  <si>
    <t>Cust157</t>
  </si>
  <si>
    <t>ORD00158</t>
  </si>
  <si>
    <t>Product158</t>
  </si>
  <si>
    <t>Cust158</t>
  </si>
  <si>
    <t>ORD00159</t>
  </si>
  <si>
    <t>Product159</t>
  </si>
  <si>
    <t>Cust159</t>
  </si>
  <si>
    <t>ORD00160</t>
  </si>
  <si>
    <t>Product160</t>
  </si>
  <si>
    <t>Cust160</t>
  </si>
  <si>
    <t>ORD00161</t>
  </si>
  <si>
    <t>Product161</t>
  </si>
  <si>
    <t>Cust161</t>
  </si>
  <si>
    <t>ORD00162</t>
  </si>
  <si>
    <t>Product162</t>
  </si>
  <si>
    <t>Cust162</t>
  </si>
  <si>
    <t>ORD00163</t>
  </si>
  <si>
    <t>Product163</t>
  </si>
  <si>
    <t>Cust163</t>
  </si>
  <si>
    <t>ORD00164</t>
  </si>
  <si>
    <t>Product164</t>
  </si>
  <si>
    <t>Cust164</t>
  </si>
  <si>
    <t>ORD00165</t>
  </si>
  <si>
    <t>Product165</t>
  </si>
  <si>
    <t>Cust165</t>
  </si>
  <si>
    <t>ORD00166</t>
  </si>
  <si>
    <t>Product166</t>
  </si>
  <si>
    <t>Cust166</t>
  </si>
  <si>
    <t>ORD00167</t>
  </si>
  <si>
    <t>Product167</t>
  </si>
  <si>
    <t>Cust167</t>
  </si>
  <si>
    <t>ORD00168</t>
  </si>
  <si>
    <t>Product168</t>
  </si>
  <si>
    <t>Cust168</t>
  </si>
  <si>
    <t>ORD00169</t>
  </si>
  <si>
    <t>Product169</t>
  </si>
  <si>
    <t>Cust169</t>
  </si>
  <si>
    <t>ORD00170</t>
  </si>
  <si>
    <t>Product170</t>
  </si>
  <si>
    <t>Cust170</t>
  </si>
  <si>
    <t>ORD00171</t>
  </si>
  <si>
    <t>Product171</t>
  </si>
  <si>
    <t>Cust171</t>
  </si>
  <si>
    <t>ORD00172</t>
  </si>
  <si>
    <t>Product172</t>
  </si>
  <si>
    <t>Cust172</t>
  </si>
  <si>
    <t>ORD00173</t>
  </si>
  <si>
    <t>Product173</t>
  </si>
  <si>
    <t>Cust173</t>
  </si>
  <si>
    <t>ORD00174</t>
  </si>
  <si>
    <t>Product174</t>
  </si>
  <si>
    <t>Cust174</t>
  </si>
  <si>
    <t>ORD00175</t>
  </si>
  <si>
    <t>Product175</t>
  </si>
  <si>
    <t>Cust175</t>
  </si>
  <si>
    <t>ORD00176</t>
  </si>
  <si>
    <t>Product176</t>
  </si>
  <si>
    <t>Cust176</t>
  </si>
  <si>
    <t>ORD00177</t>
  </si>
  <si>
    <t>Product177</t>
  </si>
  <si>
    <t>Cust177</t>
  </si>
  <si>
    <t>ORD00178</t>
  </si>
  <si>
    <t>Product178</t>
  </si>
  <si>
    <t>Cust178</t>
  </si>
  <si>
    <t>ORD00179</t>
  </si>
  <si>
    <t>Product179</t>
  </si>
  <si>
    <t>Cust179</t>
  </si>
  <si>
    <t>ORD00180</t>
  </si>
  <si>
    <t>Product180</t>
  </si>
  <si>
    <t>Cust180</t>
  </si>
  <si>
    <t>ORD00181</t>
  </si>
  <si>
    <t>Product181</t>
  </si>
  <si>
    <t>Cust181</t>
  </si>
  <si>
    <t>ORD00182</t>
  </si>
  <si>
    <t>Product182</t>
  </si>
  <si>
    <t>Cust182</t>
  </si>
  <si>
    <t>ORD00183</t>
  </si>
  <si>
    <t>Product183</t>
  </si>
  <si>
    <t>Cust183</t>
  </si>
  <si>
    <t>ORD00184</t>
  </si>
  <si>
    <t>Product184</t>
  </si>
  <si>
    <t>Cust184</t>
  </si>
  <si>
    <t>ORD00185</t>
  </si>
  <si>
    <t>Product185</t>
  </si>
  <si>
    <t>Cust185</t>
  </si>
  <si>
    <t>ORD00186</t>
  </si>
  <si>
    <t>Product186</t>
  </si>
  <si>
    <t>Cust186</t>
  </si>
  <si>
    <t>ORD00187</t>
  </si>
  <si>
    <t>Product187</t>
  </si>
  <si>
    <t>Cust187</t>
  </si>
  <si>
    <t>ORD00188</t>
  </si>
  <si>
    <t>Product188</t>
  </si>
  <si>
    <t>Cust188</t>
  </si>
  <si>
    <t>ORD00189</t>
  </si>
  <si>
    <t>Product189</t>
  </si>
  <si>
    <t>Cust189</t>
  </si>
  <si>
    <t>ORD00190</t>
  </si>
  <si>
    <t>Product190</t>
  </si>
  <si>
    <t>Cust190</t>
  </si>
  <si>
    <t>ORD00191</t>
  </si>
  <si>
    <t>Product191</t>
  </si>
  <si>
    <t>Cust191</t>
  </si>
  <si>
    <t>ORD00192</t>
  </si>
  <si>
    <t>Product192</t>
  </si>
  <si>
    <t>Cust192</t>
  </si>
  <si>
    <t>ORD00193</t>
  </si>
  <si>
    <t>Product193</t>
  </si>
  <si>
    <t>Cust193</t>
  </si>
  <si>
    <t>ORD00194</t>
  </si>
  <si>
    <t>Product194</t>
  </si>
  <si>
    <t>Cust194</t>
  </si>
  <si>
    <t>ORD00195</t>
  </si>
  <si>
    <t>Product195</t>
  </si>
  <si>
    <t>Cust195</t>
  </si>
  <si>
    <t>ORD00196</t>
  </si>
  <si>
    <t>Product196</t>
  </si>
  <si>
    <t>Cust196</t>
  </si>
  <si>
    <t>ORD00197</t>
  </si>
  <si>
    <t>Product197</t>
  </si>
  <si>
    <t>Cust197</t>
  </si>
  <si>
    <t>ORD00198</t>
  </si>
  <si>
    <t>Product198</t>
  </si>
  <si>
    <t>Cust198</t>
  </si>
  <si>
    <t>ORD00199</t>
  </si>
  <si>
    <t>Product199</t>
  </si>
  <si>
    <t>Cust199</t>
  </si>
  <si>
    <t>ORD00200</t>
  </si>
  <si>
    <t>Product200</t>
  </si>
  <si>
    <t>Cust200</t>
  </si>
  <si>
    <t>ORD00201</t>
  </si>
  <si>
    <t>Product201</t>
  </si>
  <si>
    <t>Cust201</t>
  </si>
  <si>
    <t>ORD00202</t>
  </si>
  <si>
    <t>Product202</t>
  </si>
  <si>
    <t>Cust202</t>
  </si>
  <si>
    <t>ORD00203</t>
  </si>
  <si>
    <t>Product203</t>
  </si>
  <si>
    <t>Cust203</t>
  </si>
  <si>
    <t>ORD00204</t>
  </si>
  <si>
    <t>Product204</t>
  </si>
  <si>
    <t>Cust204</t>
  </si>
  <si>
    <t>ORD00205</t>
  </si>
  <si>
    <t>Product205</t>
  </si>
  <si>
    <t>Cust205</t>
  </si>
  <si>
    <t>ORD00206</t>
  </si>
  <si>
    <t>Product206</t>
  </si>
  <si>
    <t>Cust206</t>
  </si>
  <si>
    <t>ORD00207</t>
  </si>
  <si>
    <t>Product207</t>
  </si>
  <si>
    <t>Cust207</t>
  </si>
  <si>
    <t>ORD00208</t>
  </si>
  <si>
    <t>Product208</t>
  </si>
  <si>
    <t>Cust208</t>
  </si>
  <si>
    <t>ORD00209</t>
  </si>
  <si>
    <t>Product209</t>
  </si>
  <si>
    <t>Cust209</t>
  </si>
  <si>
    <t>ORD00210</t>
  </si>
  <si>
    <t>Product210</t>
  </si>
  <si>
    <t>Cust210</t>
  </si>
  <si>
    <t>ORD00211</t>
  </si>
  <si>
    <t>Product211</t>
  </si>
  <si>
    <t>Cust211</t>
  </si>
  <si>
    <t>ORD00212</t>
  </si>
  <si>
    <t>Product212</t>
  </si>
  <si>
    <t>Cust212</t>
  </si>
  <si>
    <t>ORD00213</t>
  </si>
  <si>
    <t>Product213</t>
  </si>
  <si>
    <t>Cust213</t>
  </si>
  <si>
    <t>ORD00214</t>
  </si>
  <si>
    <t>Product214</t>
  </si>
  <si>
    <t>Cust214</t>
  </si>
  <si>
    <t>ORD00215</t>
  </si>
  <si>
    <t>Product215</t>
  </si>
  <si>
    <t>Cust215</t>
  </si>
  <si>
    <t>ORD00216</t>
  </si>
  <si>
    <t>Product216</t>
  </si>
  <si>
    <t>Cust216</t>
  </si>
  <si>
    <t>ORD00217</t>
  </si>
  <si>
    <t>Product217</t>
  </si>
  <si>
    <t>Cust217</t>
  </si>
  <si>
    <t>ORD00218</t>
  </si>
  <si>
    <t>Product218</t>
  </si>
  <si>
    <t>Cust218</t>
  </si>
  <si>
    <t>ORD00219</t>
  </si>
  <si>
    <t>Product219</t>
  </si>
  <si>
    <t>Cust219</t>
  </si>
  <si>
    <t>ORD00220</t>
  </si>
  <si>
    <t>Product220</t>
  </si>
  <si>
    <t>Cust220</t>
  </si>
  <si>
    <t>ORD00221</t>
  </si>
  <si>
    <t>Product221</t>
  </si>
  <si>
    <t>Cust221</t>
  </si>
  <si>
    <t>ORD00222</t>
  </si>
  <si>
    <t>Product222</t>
  </si>
  <si>
    <t>Cust222</t>
  </si>
  <si>
    <t>ORD00223</t>
  </si>
  <si>
    <t>Product223</t>
  </si>
  <si>
    <t>Cust223</t>
  </si>
  <si>
    <t>ORD00224</t>
  </si>
  <si>
    <t>Product224</t>
  </si>
  <si>
    <t>Cust224</t>
  </si>
  <si>
    <t>ORD00225</t>
  </si>
  <si>
    <t>Product225</t>
  </si>
  <si>
    <t>Cust225</t>
  </si>
  <si>
    <t>ORD00226</t>
  </si>
  <si>
    <t>Product226</t>
  </si>
  <si>
    <t>Cust226</t>
  </si>
  <si>
    <t>ORD00227</t>
  </si>
  <si>
    <t>Product227</t>
  </si>
  <si>
    <t>Cust227</t>
  </si>
  <si>
    <t>ORD00228</t>
  </si>
  <si>
    <t>Product228</t>
  </si>
  <si>
    <t>Cust228</t>
  </si>
  <si>
    <t>ORD00229</t>
  </si>
  <si>
    <t>Product229</t>
  </si>
  <si>
    <t>Cust229</t>
  </si>
  <si>
    <t>ORD00230</t>
  </si>
  <si>
    <t>Product230</t>
  </si>
  <si>
    <t>Cust230</t>
  </si>
  <si>
    <t>ORD00231</t>
  </si>
  <si>
    <t>Product231</t>
  </si>
  <si>
    <t>Cust231</t>
  </si>
  <si>
    <t>ORD00232</t>
  </si>
  <si>
    <t>Product232</t>
  </si>
  <si>
    <t>Cust232</t>
  </si>
  <si>
    <t>ORD00233</t>
  </si>
  <si>
    <t>Product233</t>
  </si>
  <si>
    <t>Cust233</t>
  </si>
  <si>
    <t>ORD00234</t>
  </si>
  <si>
    <t>Product234</t>
  </si>
  <si>
    <t>Cust234</t>
  </si>
  <si>
    <t>ORD00235</t>
  </si>
  <si>
    <t>Product235</t>
  </si>
  <si>
    <t>Cust235</t>
  </si>
  <si>
    <t>ORD00236</t>
  </si>
  <si>
    <t>Product236</t>
  </si>
  <si>
    <t>Cust236</t>
  </si>
  <si>
    <t>ORD00237</t>
  </si>
  <si>
    <t>Product237</t>
  </si>
  <si>
    <t>Cust237</t>
  </si>
  <si>
    <t>ORD00238</t>
  </si>
  <si>
    <t>Product238</t>
  </si>
  <si>
    <t>Cust238</t>
  </si>
  <si>
    <t>ORD00239</t>
  </si>
  <si>
    <t>Product239</t>
  </si>
  <si>
    <t>Cust239</t>
  </si>
  <si>
    <t>ORD00240</t>
  </si>
  <si>
    <t>Product240</t>
  </si>
  <si>
    <t>Cust240</t>
  </si>
  <si>
    <t>ORD00241</t>
  </si>
  <si>
    <t>Product241</t>
  </si>
  <si>
    <t>Cust241</t>
  </si>
  <si>
    <t>ORD00242</t>
  </si>
  <si>
    <t>Product242</t>
  </si>
  <si>
    <t>Cust242</t>
  </si>
  <si>
    <t>ORD00243</t>
  </si>
  <si>
    <t>Product243</t>
  </si>
  <si>
    <t>Cust243</t>
  </si>
  <si>
    <t>ORD00244</t>
  </si>
  <si>
    <t>Product244</t>
  </si>
  <si>
    <t>Cust244</t>
  </si>
  <si>
    <t>ORD00245</t>
  </si>
  <si>
    <t>Product245</t>
  </si>
  <si>
    <t>Cust245</t>
  </si>
  <si>
    <t>ORD00246</t>
  </si>
  <si>
    <t>Product246</t>
  </si>
  <si>
    <t>Cust246</t>
  </si>
  <si>
    <t>ORD00247</t>
  </si>
  <si>
    <t>Product247</t>
  </si>
  <si>
    <t>Cust247</t>
  </si>
  <si>
    <t>ORD00248</t>
  </si>
  <si>
    <t>Product248</t>
  </si>
  <si>
    <t>Cust248</t>
  </si>
  <si>
    <t>ORD00249</t>
  </si>
  <si>
    <t>Product249</t>
  </si>
  <si>
    <t>Cust249</t>
  </si>
  <si>
    <t>ORD00250</t>
  </si>
  <si>
    <t>Product250</t>
  </si>
  <si>
    <t>Cust250</t>
  </si>
  <si>
    <t>ORD00251</t>
  </si>
  <si>
    <t>Product251</t>
  </si>
  <si>
    <t>Cust251</t>
  </si>
  <si>
    <t>ORD00252</t>
  </si>
  <si>
    <t>Product252</t>
  </si>
  <si>
    <t>Cust252</t>
  </si>
  <si>
    <t>ORD00253</t>
  </si>
  <si>
    <t>Product253</t>
  </si>
  <si>
    <t>Cust253</t>
  </si>
  <si>
    <t>ORD00254</t>
  </si>
  <si>
    <t>Product254</t>
  </si>
  <si>
    <t>Cust254</t>
  </si>
  <si>
    <t>ORD00255</t>
  </si>
  <si>
    <t>Product255</t>
  </si>
  <si>
    <t>Cust255</t>
  </si>
  <si>
    <t>ORD00256</t>
  </si>
  <si>
    <t>Product256</t>
  </si>
  <si>
    <t>Cust256</t>
  </si>
  <si>
    <t>ORD00257</t>
  </si>
  <si>
    <t>Product257</t>
  </si>
  <si>
    <t>Cust257</t>
  </si>
  <si>
    <t>ORD00258</t>
  </si>
  <si>
    <t>Product258</t>
  </si>
  <si>
    <t>Cust258</t>
  </si>
  <si>
    <t>ORD00259</t>
  </si>
  <si>
    <t>Product259</t>
  </si>
  <si>
    <t>Cust259</t>
  </si>
  <si>
    <t>ORD00260</t>
  </si>
  <si>
    <t>Product260</t>
  </si>
  <si>
    <t>Cust260</t>
  </si>
  <si>
    <t>ORD00261</t>
  </si>
  <si>
    <t>Product261</t>
  </si>
  <si>
    <t>Cust261</t>
  </si>
  <si>
    <t>ORD00262</t>
  </si>
  <si>
    <t>Product262</t>
  </si>
  <si>
    <t>Cust262</t>
  </si>
  <si>
    <t>ORD00263</t>
  </si>
  <si>
    <t>Product263</t>
  </si>
  <si>
    <t>Cust263</t>
  </si>
  <si>
    <t>ORD00264</t>
  </si>
  <si>
    <t>Product264</t>
  </si>
  <si>
    <t>Cust264</t>
  </si>
  <si>
    <t>ORD00265</t>
  </si>
  <si>
    <t>Product265</t>
  </si>
  <si>
    <t>Cust265</t>
  </si>
  <si>
    <t>ORD00266</t>
  </si>
  <si>
    <t>Product266</t>
  </si>
  <si>
    <t>Cust266</t>
  </si>
  <si>
    <t>ORD00267</t>
  </si>
  <si>
    <t>Product267</t>
  </si>
  <si>
    <t>Cust267</t>
  </si>
  <si>
    <t>ORD00268</t>
  </si>
  <si>
    <t>Product268</t>
  </si>
  <si>
    <t>Cust268</t>
  </si>
  <si>
    <t>ORD00269</t>
  </si>
  <si>
    <t>Product269</t>
  </si>
  <si>
    <t>Cust269</t>
  </si>
  <si>
    <t>ORD00270</t>
  </si>
  <si>
    <t>Product270</t>
  </si>
  <si>
    <t>Cust270</t>
  </si>
  <si>
    <t>ORD00271</t>
  </si>
  <si>
    <t>Product271</t>
  </si>
  <si>
    <t>Cust271</t>
  </si>
  <si>
    <t>ORD00272</t>
  </si>
  <si>
    <t>Product272</t>
  </si>
  <si>
    <t>Cust272</t>
  </si>
  <si>
    <t>ORD00273</t>
  </si>
  <si>
    <t>Product273</t>
  </si>
  <si>
    <t>Cust273</t>
  </si>
  <si>
    <t>ORD00274</t>
  </si>
  <si>
    <t>Product274</t>
  </si>
  <si>
    <t>Cust274</t>
  </si>
  <si>
    <t>ORD00275</t>
  </si>
  <si>
    <t>Product275</t>
  </si>
  <si>
    <t>Cust275</t>
  </si>
  <si>
    <t>ORD00276</t>
  </si>
  <si>
    <t>Product276</t>
  </si>
  <si>
    <t>Cust276</t>
  </si>
  <si>
    <t>ORD00277</t>
  </si>
  <si>
    <t>Product277</t>
  </si>
  <si>
    <t>Cust277</t>
  </si>
  <si>
    <t>ORD00278</t>
  </si>
  <si>
    <t>Product278</t>
  </si>
  <si>
    <t>Cust278</t>
  </si>
  <si>
    <t>ORD00279</t>
  </si>
  <si>
    <t>Product279</t>
  </si>
  <si>
    <t>Cust279</t>
  </si>
  <si>
    <t>ORD00280</t>
  </si>
  <si>
    <t>Product280</t>
  </si>
  <si>
    <t>Cust280</t>
  </si>
  <si>
    <t>ORD00281</t>
  </si>
  <si>
    <t>Product281</t>
  </si>
  <si>
    <t>Cust281</t>
  </si>
  <si>
    <t>ORD00282</t>
  </si>
  <si>
    <t>Product282</t>
  </si>
  <si>
    <t>Cust282</t>
  </si>
  <si>
    <t>ORD00283</t>
  </si>
  <si>
    <t>Product283</t>
  </si>
  <si>
    <t>Cust283</t>
  </si>
  <si>
    <t>ORD00284</t>
  </si>
  <si>
    <t>Product284</t>
  </si>
  <si>
    <t>Cust284</t>
  </si>
  <si>
    <t>ORD00285</t>
  </si>
  <si>
    <t>Product285</t>
  </si>
  <si>
    <t>Cust285</t>
  </si>
  <si>
    <t>ORD00286</t>
  </si>
  <si>
    <t>Product286</t>
  </si>
  <si>
    <t>Cust286</t>
  </si>
  <si>
    <t>ORD00287</t>
  </si>
  <si>
    <t>Product287</t>
  </si>
  <si>
    <t>Cust287</t>
  </si>
  <si>
    <t>ORD00288</t>
  </si>
  <si>
    <t>Product288</t>
  </si>
  <si>
    <t>Cust288</t>
  </si>
  <si>
    <t>ORD00289</t>
  </si>
  <si>
    <t>Product289</t>
  </si>
  <si>
    <t>Cust289</t>
  </si>
  <si>
    <t>ORD00290</t>
  </si>
  <si>
    <t>Product290</t>
  </si>
  <si>
    <t>Cust290</t>
  </si>
  <si>
    <t>ORD00291</t>
  </si>
  <si>
    <t>Product291</t>
  </si>
  <si>
    <t>Cust291</t>
  </si>
  <si>
    <t>ORD00292</t>
  </si>
  <si>
    <t>Product292</t>
  </si>
  <si>
    <t>Cust292</t>
  </si>
  <si>
    <t>ORD00293</t>
  </si>
  <si>
    <t>Product293</t>
  </si>
  <si>
    <t>Cust293</t>
  </si>
  <si>
    <t>ORD00294</t>
  </si>
  <si>
    <t>Product294</t>
  </si>
  <si>
    <t>Cust294</t>
  </si>
  <si>
    <t>ORD00295</t>
  </si>
  <si>
    <t>Product295</t>
  </si>
  <si>
    <t>Cust295</t>
  </si>
  <si>
    <t>ORD00296</t>
  </si>
  <si>
    <t>Product296</t>
  </si>
  <si>
    <t>Cust296</t>
  </si>
  <si>
    <t>ORD00297</t>
  </si>
  <si>
    <t>Product297</t>
  </si>
  <si>
    <t>Cust297</t>
  </si>
  <si>
    <t>ORD00298</t>
  </si>
  <si>
    <t>Product298</t>
  </si>
  <si>
    <t>Cust298</t>
  </si>
  <si>
    <t>ORD00299</t>
  </si>
  <si>
    <t>Product299</t>
  </si>
  <si>
    <t>Cust299</t>
  </si>
  <si>
    <t>ORD00300</t>
  </si>
  <si>
    <t>Product300</t>
  </si>
  <si>
    <t>Cust300</t>
  </si>
  <si>
    <t>ORD00301</t>
  </si>
  <si>
    <t>Product301</t>
  </si>
  <si>
    <t>Cust301</t>
  </si>
  <si>
    <t>ORD00302</t>
  </si>
  <si>
    <t>Product302</t>
  </si>
  <si>
    <t>Cust302</t>
  </si>
  <si>
    <t>ORD00303</t>
  </si>
  <si>
    <t>Product303</t>
  </si>
  <si>
    <t>Cust303</t>
  </si>
  <si>
    <t>ORD00304</t>
  </si>
  <si>
    <t>Product304</t>
  </si>
  <si>
    <t>Cust304</t>
  </si>
  <si>
    <t>ORD00305</t>
  </si>
  <si>
    <t>Product305</t>
  </si>
  <si>
    <t>Cust305</t>
  </si>
  <si>
    <t>ORD00306</t>
  </si>
  <si>
    <t>Product306</t>
  </si>
  <si>
    <t>Cust306</t>
  </si>
  <si>
    <t>ORD00307</t>
  </si>
  <si>
    <t>Product307</t>
  </si>
  <si>
    <t>Cust307</t>
  </si>
  <si>
    <t>ORD00308</t>
  </si>
  <si>
    <t>Product308</t>
  </si>
  <si>
    <t>Cust308</t>
  </si>
  <si>
    <t>ORD00309</t>
  </si>
  <si>
    <t>Product309</t>
  </si>
  <si>
    <t>Cust309</t>
  </si>
  <si>
    <t>ORD00310</t>
  </si>
  <si>
    <t>Product310</t>
  </si>
  <si>
    <t>Cust310</t>
  </si>
  <si>
    <t>ORD00311</t>
  </si>
  <si>
    <t>Product311</t>
  </si>
  <si>
    <t>Cust311</t>
  </si>
  <si>
    <t>ORD00312</t>
  </si>
  <si>
    <t>Product312</t>
  </si>
  <si>
    <t>Cust312</t>
  </si>
  <si>
    <t>ORD00313</t>
  </si>
  <si>
    <t>Product313</t>
  </si>
  <si>
    <t>Cust313</t>
  </si>
  <si>
    <t>ORD00314</t>
  </si>
  <si>
    <t>Product314</t>
  </si>
  <si>
    <t>Cust314</t>
  </si>
  <si>
    <t>ORD00315</t>
  </si>
  <si>
    <t>Product315</t>
  </si>
  <si>
    <t>Cust315</t>
  </si>
  <si>
    <t>ORD00316</t>
  </si>
  <si>
    <t>Product316</t>
  </si>
  <si>
    <t>Cust316</t>
  </si>
  <si>
    <t>ORD00317</t>
  </si>
  <si>
    <t>Product317</t>
  </si>
  <si>
    <t>Cust317</t>
  </si>
  <si>
    <t>ORD00318</t>
  </si>
  <si>
    <t>Product318</t>
  </si>
  <si>
    <t>Cust318</t>
  </si>
  <si>
    <t>ORD00319</t>
  </si>
  <si>
    <t>Product319</t>
  </si>
  <si>
    <t>Cust319</t>
  </si>
  <si>
    <t>ORD00320</t>
  </si>
  <si>
    <t>Product320</t>
  </si>
  <si>
    <t>Cust320</t>
  </si>
  <si>
    <t>ORD00321</t>
  </si>
  <si>
    <t>Product321</t>
  </si>
  <si>
    <t>Cust321</t>
  </si>
  <si>
    <t>ORD00322</t>
  </si>
  <si>
    <t>Product322</t>
  </si>
  <si>
    <t>Cust322</t>
  </si>
  <si>
    <t>ORD00323</t>
  </si>
  <si>
    <t>Product323</t>
  </si>
  <si>
    <t>Cust323</t>
  </si>
  <si>
    <t>ORD00324</t>
  </si>
  <si>
    <t>Product324</t>
  </si>
  <si>
    <t>Cust324</t>
  </si>
  <si>
    <t>ORD00325</t>
  </si>
  <si>
    <t>Product325</t>
  </si>
  <si>
    <t>Cust325</t>
  </si>
  <si>
    <t>ORD00326</t>
  </si>
  <si>
    <t>Product326</t>
  </si>
  <si>
    <t>Cust326</t>
  </si>
  <si>
    <t>ORD00327</t>
  </si>
  <si>
    <t>Product327</t>
  </si>
  <si>
    <t>Cust327</t>
  </si>
  <si>
    <t>ORD00328</t>
  </si>
  <si>
    <t>Product328</t>
  </si>
  <si>
    <t>Cust328</t>
  </si>
  <si>
    <t>ORD00329</t>
  </si>
  <si>
    <t>Product329</t>
  </si>
  <si>
    <t>Cust329</t>
  </si>
  <si>
    <t>ORD00330</t>
  </si>
  <si>
    <t>Product330</t>
  </si>
  <si>
    <t>Cust330</t>
  </si>
  <si>
    <t>ORD00331</t>
  </si>
  <si>
    <t>Product331</t>
  </si>
  <si>
    <t>Cust331</t>
  </si>
  <si>
    <t>ORD00332</t>
  </si>
  <si>
    <t>Product332</t>
  </si>
  <si>
    <t>Cust332</t>
  </si>
  <si>
    <t>ORD00333</t>
  </si>
  <si>
    <t>Product333</t>
  </si>
  <si>
    <t>Cust333</t>
  </si>
  <si>
    <t>ORD00334</t>
  </si>
  <si>
    <t>Product334</t>
  </si>
  <si>
    <t>Cust334</t>
  </si>
  <si>
    <t>ORD00335</t>
  </si>
  <si>
    <t>Product335</t>
  </si>
  <si>
    <t>Cust335</t>
  </si>
  <si>
    <t>ORD00336</t>
  </si>
  <si>
    <t>Product336</t>
  </si>
  <si>
    <t>Cust336</t>
  </si>
  <si>
    <t>ORD00337</t>
  </si>
  <si>
    <t>Product337</t>
  </si>
  <si>
    <t>Cust337</t>
  </si>
  <si>
    <t>ORD00338</t>
  </si>
  <si>
    <t>Product338</t>
  </si>
  <si>
    <t>Cust338</t>
  </si>
  <si>
    <t>ORD00339</t>
  </si>
  <si>
    <t>Product339</t>
  </si>
  <si>
    <t>Cust339</t>
  </si>
  <si>
    <t>ORD00340</t>
  </si>
  <si>
    <t>Product340</t>
  </si>
  <si>
    <t>Cust340</t>
  </si>
  <si>
    <t>ORD00341</t>
  </si>
  <si>
    <t>Product341</t>
  </si>
  <si>
    <t>Cust341</t>
  </si>
  <si>
    <t>ORD00342</t>
  </si>
  <si>
    <t>Product342</t>
  </si>
  <si>
    <t>Cust342</t>
  </si>
  <si>
    <t>ORD00343</t>
  </si>
  <si>
    <t>Product343</t>
  </si>
  <si>
    <t>Cust343</t>
  </si>
  <si>
    <t>ORD00344</t>
  </si>
  <si>
    <t>Product344</t>
  </si>
  <si>
    <t>Cust344</t>
  </si>
  <si>
    <t>ORD00345</t>
  </si>
  <si>
    <t>Product345</t>
  </si>
  <si>
    <t>Cust345</t>
  </si>
  <si>
    <t>ORD00346</t>
  </si>
  <si>
    <t>Product346</t>
  </si>
  <si>
    <t>Cust346</t>
  </si>
  <si>
    <t>ORD00347</t>
  </si>
  <si>
    <t>Product347</t>
  </si>
  <si>
    <t>Cust347</t>
  </si>
  <si>
    <t>ORD00348</t>
  </si>
  <si>
    <t>Product348</t>
  </si>
  <si>
    <t>Cust348</t>
  </si>
  <si>
    <t>ORD00349</t>
  </si>
  <si>
    <t>Product349</t>
  </si>
  <si>
    <t>Cust349</t>
  </si>
  <si>
    <t>ORD00350</t>
  </si>
  <si>
    <t>Product350</t>
  </si>
  <si>
    <t>Cust350</t>
  </si>
  <si>
    <t>ORD00351</t>
  </si>
  <si>
    <t>Product351</t>
  </si>
  <si>
    <t>Cust351</t>
  </si>
  <si>
    <t>ORD00352</t>
  </si>
  <si>
    <t>Product352</t>
  </si>
  <si>
    <t>Cust352</t>
  </si>
  <si>
    <t>ORD00353</t>
  </si>
  <si>
    <t>Product353</t>
  </si>
  <si>
    <t>Cust353</t>
  </si>
  <si>
    <t>ORD00354</t>
  </si>
  <si>
    <t>Product354</t>
  </si>
  <si>
    <t>Cust354</t>
  </si>
  <si>
    <t>ORD00355</t>
  </si>
  <si>
    <t>Product355</t>
  </si>
  <si>
    <t>Cust355</t>
  </si>
  <si>
    <t>ORD00356</t>
  </si>
  <si>
    <t>Product356</t>
  </si>
  <si>
    <t>Cust356</t>
  </si>
  <si>
    <t>ORD00357</t>
  </si>
  <si>
    <t>Product357</t>
  </si>
  <si>
    <t>Cust357</t>
  </si>
  <si>
    <t>ORD00358</t>
  </si>
  <si>
    <t>Product358</t>
  </si>
  <si>
    <t>Cust358</t>
  </si>
  <si>
    <t>ORD00359</t>
  </si>
  <si>
    <t>Product359</t>
  </si>
  <si>
    <t>Cust359</t>
  </si>
  <si>
    <t>ORD00360</t>
  </si>
  <si>
    <t>Product360</t>
  </si>
  <si>
    <t>Cust360</t>
  </si>
  <si>
    <t>ORD00361</t>
  </si>
  <si>
    <t>Product361</t>
  </si>
  <si>
    <t>Cust361</t>
  </si>
  <si>
    <t>ORD00362</t>
  </si>
  <si>
    <t>Product362</t>
  </si>
  <si>
    <t>Cust362</t>
  </si>
  <si>
    <t>ORD00363</t>
  </si>
  <si>
    <t>Product363</t>
  </si>
  <si>
    <t>Cust363</t>
  </si>
  <si>
    <t>ORD00364</t>
  </si>
  <si>
    <t>Product364</t>
  </si>
  <si>
    <t>Cust364</t>
  </si>
  <si>
    <t>ORD00365</t>
  </si>
  <si>
    <t>Product365</t>
  </si>
  <si>
    <t>Cust365</t>
  </si>
  <si>
    <t>ORD00366</t>
  </si>
  <si>
    <t>Product366</t>
  </si>
  <si>
    <t>Cust366</t>
  </si>
  <si>
    <t>ORD00367</t>
  </si>
  <si>
    <t>Product367</t>
  </si>
  <si>
    <t>Cust367</t>
  </si>
  <si>
    <t>ORD00368</t>
  </si>
  <si>
    <t>Product368</t>
  </si>
  <si>
    <t>Cust368</t>
  </si>
  <si>
    <t>ORD00369</t>
  </si>
  <si>
    <t>Product369</t>
  </si>
  <si>
    <t>Cust369</t>
  </si>
  <si>
    <t>ORD00370</t>
  </si>
  <si>
    <t>Product370</t>
  </si>
  <si>
    <t>Cust370</t>
  </si>
  <si>
    <t>ORD00371</t>
  </si>
  <si>
    <t>Product371</t>
  </si>
  <si>
    <t>Cust371</t>
  </si>
  <si>
    <t>ORD00372</t>
  </si>
  <si>
    <t>Product372</t>
  </si>
  <si>
    <t>Cust372</t>
  </si>
  <si>
    <t>ORD00373</t>
  </si>
  <si>
    <t>Product373</t>
  </si>
  <si>
    <t>Cust373</t>
  </si>
  <si>
    <t>ORD00374</t>
  </si>
  <si>
    <t>Product374</t>
  </si>
  <si>
    <t>Cust374</t>
  </si>
  <si>
    <t>ORD00375</t>
  </si>
  <si>
    <t>Product375</t>
  </si>
  <si>
    <t>Cust375</t>
  </si>
  <si>
    <t>ORD00376</t>
  </si>
  <si>
    <t>Product376</t>
  </si>
  <si>
    <t>Cust376</t>
  </si>
  <si>
    <t>ORD00377</t>
  </si>
  <si>
    <t>Product377</t>
  </si>
  <si>
    <t>Cust377</t>
  </si>
  <si>
    <t>ORD00378</t>
  </si>
  <si>
    <t>Product378</t>
  </si>
  <si>
    <t>Cust378</t>
  </si>
  <si>
    <t>ORD00379</t>
  </si>
  <si>
    <t>Product379</t>
  </si>
  <si>
    <t>Cust379</t>
  </si>
  <si>
    <t>ORD00380</t>
  </si>
  <si>
    <t>Product380</t>
  </si>
  <si>
    <t>Cust380</t>
  </si>
  <si>
    <t>ORD00381</t>
  </si>
  <si>
    <t>Product381</t>
  </si>
  <si>
    <t>Cust381</t>
  </si>
  <si>
    <t>ORD00382</t>
  </si>
  <si>
    <t>Product382</t>
  </si>
  <si>
    <t>Cust382</t>
  </si>
  <si>
    <t>ORD00383</t>
  </si>
  <si>
    <t>Product383</t>
  </si>
  <si>
    <t>Cust383</t>
  </si>
  <si>
    <t>ORD00384</t>
  </si>
  <si>
    <t>Product384</t>
  </si>
  <si>
    <t>Cust384</t>
  </si>
  <si>
    <t>ORD00385</t>
  </si>
  <si>
    <t>Product385</t>
  </si>
  <si>
    <t>Cust385</t>
  </si>
  <si>
    <t>ORD00386</t>
  </si>
  <si>
    <t>Product386</t>
  </si>
  <si>
    <t>Cust386</t>
  </si>
  <si>
    <t>ORD00387</t>
  </si>
  <si>
    <t>Product387</t>
  </si>
  <si>
    <t>Cust387</t>
  </si>
  <si>
    <t>ORD00388</t>
  </si>
  <si>
    <t>Product388</t>
  </si>
  <si>
    <t>Cust388</t>
  </si>
  <si>
    <t>ORD00389</t>
  </si>
  <si>
    <t>Product389</t>
  </si>
  <si>
    <t>Cust389</t>
  </si>
  <si>
    <t>ORD00390</t>
  </si>
  <si>
    <t>Product390</t>
  </si>
  <si>
    <t>Cust390</t>
  </si>
  <si>
    <t>ORD00391</t>
  </si>
  <si>
    <t>Product391</t>
  </si>
  <si>
    <t>Cust391</t>
  </si>
  <si>
    <t>ORD00392</t>
  </si>
  <si>
    <t>Product392</t>
  </si>
  <si>
    <t>Cust392</t>
  </si>
  <si>
    <t>ORD00393</t>
  </si>
  <si>
    <t>Product393</t>
  </si>
  <si>
    <t>Cust393</t>
  </si>
  <si>
    <t>ORD00394</t>
  </si>
  <si>
    <t>Product394</t>
  </si>
  <si>
    <t>Cust394</t>
  </si>
  <si>
    <t>ORD00395</t>
  </si>
  <si>
    <t>Product395</t>
  </si>
  <si>
    <t>Cust395</t>
  </si>
  <si>
    <t>ORD00396</t>
  </si>
  <si>
    <t>Product396</t>
  </si>
  <si>
    <t>Cust396</t>
  </si>
  <si>
    <t>ORD00397</t>
  </si>
  <si>
    <t>Product397</t>
  </si>
  <si>
    <t>Cust397</t>
  </si>
  <si>
    <t>ORD00398</t>
  </si>
  <si>
    <t>Product398</t>
  </si>
  <si>
    <t>Cust398</t>
  </si>
  <si>
    <t>ORD00399</t>
  </si>
  <si>
    <t>Product399</t>
  </si>
  <si>
    <t>Cust399</t>
  </si>
  <si>
    <t>ORD00400</t>
  </si>
  <si>
    <t>Product400</t>
  </si>
  <si>
    <t>Cust400</t>
  </si>
  <si>
    <t>ORD00401</t>
  </si>
  <si>
    <t>Product401</t>
  </si>
  <si>
    <t>Cust401</t>
  </si>
  <si>
    <t>Questions</t>
  </si>
  <si>
    <t>Value1</t>
  </si>
  <si>
    <t>Value2</t>
  </si>
  <si>
    <t>Value3</t>
  </si>
  <si>
    <t>Name:- Debkanta Nandi</t>
  </si>
  <si>
    <t>Course Name:- DPBA, Batch:-ANP-D3870</t>
  </si>
  <si>
    <t>Subject:- Excel  Report Project</t>
  </si>
  <si>
    <t>Project Name:-Sales &amp; Performance Analysis Dashboard</t>
  </si>
  <si>
    <t>1.Identify and remove duplicate Order_ID records</t>
  </si>
  <si>
    <t>2.Detect and fill missing values in Sales column</t>
  </si>
  <si>
    <t>3.Standardize Region names using proper case</t>
  </si>
  <si>
    <t>4.Remove leading/trailing spaces from Product names</t>
  </si>
  <si>
    <t>5.Validate date format consistency across dataset</t>
  </si>
  <si>
    <t>1.Extract year from Date column</t>
  </si>
  <si>
    <t>2.Extract month name from Date column</t>
  </si>
  <si>
    <t>3.Calculate Total Revenue (Sales * Quantity)</t>
  </si>
  <si>
    <t>4.Demonstrate relative referencing in calculation</t>
  </si>
  <si>
    <t>5.Apply absolute reference for fixed value calculation</t>
  </si>
  <si>
    <t>1.Sort dataset by Sales in descending order</t>
  </si>
  <si>
    <t>2.Filter data for Technology category only</t>
  </si>
  <si>
    <t>3.Display top 10 orders by Profit</t>
  </si>
  <si>
    <t>5.Sort by Region and then by Sales</t>
  </si>
  <si>
    <t>1.Highlight Sales greater than 1000</t>
  </si>
  <si>
    <t>1.Classify each record as Profit or Loss</t>
  </si>
  <si>
    <t>2.Categorize Sales into High, Medium, Low</t>
  </si>
  <si>
    <t>3.Flag records with Discount above threshold</t>
  </si>
  <si>
    <t>4.Create nested IF for multi-condition classification</t>
  </si>
  <si>
    <t>5.Generate decision output based on Profit and Sales</t>
  </si>
  <si>
    <t>1.Calculate Profit Margin percentage</t>
  </si>
  <si>
    <t>2.Compute Region-wise Sales using SUMIFS</t>
  </si>
  <si>
    <t>3.Count orders per Category using COUNTIF</t>
  </si>
  <si>
    <t>4.Retrieve Product using INDEX-MATCH</t>
  </si>
  <si>
    <t>5.Calculate average Sales per Segment</t>
  </si>
  <si>
    <t>1.Fetch Sales using Order_ID via VLOOKUP</t>
  </si>
  <si>
    <t>2.Fetch Profit using Order_ID via VLOOKUP</t>
  </si>
  <si>
    <t>3.Handle missing lookup values with IFERROR</t>
  </si>
  <si>
    <t>4.Validate lookup results for accuracy</t>
  </si>
  <si>
    <t>5.Compare VLOOKUP results with dataset values</t>
  </si>
  <si>
    <t>1.Retrieve Sales using HLOOKUP from header row</t>
  </si>
  <si>
    <t>2.Retrieve Quantity using HLOOKUP</t>
  </si>
  <si>
    <t>3.Retrieve Profit using HLOOKUP</t>
  </si>
  <si>
    <t>4.Handle missing values in HLOOKUP using IFERROR</t>
  </si>
  <si>
    <t>5.Validate horizontal lookup accuracy</t>
  </si>
  <si>
    <t>1.Summarize total Sales by Region</t>
  </si>
  <si>
    <t>2.Analyze Profit by Category</t>
  </si>
  <si>
    <t>Grand Total</t>
  </si>
  <si>
    <t>Sum of Profit</t>
  </si>
  <si>
    <t>Sum of Sales</t>
  </si>
  <si>
    <t>Furniture Total</t>
  </si>
  <si>
    <t>Office Supplies Total</t>
  </si>
  <si>
    <t>Technology Total</t>
  </si>
  <si>
    <t>3.Repeat all category in each region</t>
  </si>
  <si>
    <t>4. Use blanks Rows after each category</t>
  </si>
  <si>
    <t>Question</t>
  </si>
  <si>
    <t>2.Sort dataset by category is only Technology</t>
  </si>
  <si>
    <t xml:space="preserve">3.Sort&amp; filter which holds above both and </t>
  </si>
  <si>
    <t>discount greater than 20%</t>
  </si>
  <si>
    <t>2.Highlight only office Supplies</t>
  </si>
  <si>
    <t>3.Apply color scale to Profit between 500 to 1000</t>
  </si>
  <si>
    <t>2. Find the position of Quantity using Match Function</t>
  </si>
  <si>
    <t>Value</t>
  </si>
  <si>
    <t>1.Find the order value of serial no 15</t>
  </si>
  <si>
    <t>sl.no</t>
  </si>
  <si>
    <t>order value</t>
  </si>
  <si>
    <t>Position</t>
  </si>
  <si>
    <t xml:space="preserve">Using index </t>
  </si>
  <si>
    <t>function</t>
  </si>
  <si>
    <t>Row Labels</t>
  </si>
  <si>
    <t>Count of Product</t>
  </si>
  <si>
    <t>Jan</t>
  </si>
  <si>
    <t>Feb</t>
  </si>
  <si>
    <t>Mar</t>
  </si>
  <si>
    <t>Apr</t>
  </si>
  <si>
    <t>May</t>
  </si>
  <si>
    <t>Jun</t>
  </si>
  <si>
    <t>Jul</t>
  </si>
  <si>
    <t>Aug</t>
  </si>
  <si>
    <t>Sep</t>
  </si>
  <si>
    <t>Oct</t>
  </si>
  <si>
    <t>Nov</t>
  </si>
  <si>
    <t>Dec</t>
  </si>
  <si>
    <t>Sum of Discount</t>
  </si>
  <si>
    <t>Sales &amp; Performance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</si>
</sst>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name val="Calibri"/>
      <scheme val="minor"/>
    </font>
    <font>
      <b/>
      <sz val="11"/>
      <name val="Calibri"/>
    </font>
    <font>
      <sz val="11"/>
      <name val="Calibri"/>
    </font>
    <font>
      <sz val="11"/>
      <name val="Calibri"/>
    </font>
    <font>
      <b/>
      <sz val="11"/>
      <name val="Calibri"/>
      <family val="2"/>
      <scheme val="minor"/>
    </font>
    <font>
      <sz val="11"/>
      <name val="Calibri"/>
      <family val="2"/>
      <scheme val="minor"/>
    </font>
    <font>
      <sz val="11"/>
      <color theme="3"/>
      <name val="Calibri"/>
      <family val="2"/>
      <scheme val="minor"/>
    </font>
    <font>
      <b/>
      <sz val="11"/>
      <name val="Calibri"/>
      <family val="2"/>
    </font>
    <font>
      <b/>
      <sz val="20"/>
      <color theme="1"/>
      <name val="Calibri"/>
      <family val="2"/>
      <scheme val="minor"/>
    </font>
  </fonts>
  <fills count="9">
    <fill>
      <patternFill patternType="none"/>
    </fill>
    <fill>
      <patternFill patternType="gray125"/>
    </fill>
    <fill>
      <patternFill patternType="solid">
        <fgColor theme="2"/>
        <bgColor indexed="64"/>
      </patternFill>
    </fill>
    <fill>
      <patternFill patternType="solid">
        <fgColor rgb="FF92D050"/>
        <bgColor indexed="64"/>
      </patternFill>
    </fill>
    <fill>
      <patternFill patternType="solid">
        <fgColor rgb="FF00B050"/>
        <bgColor indexed="64"/>
      </patternFill>
    </fill>
    <fill>
      <patternFill patternType="solid">
        <fgColor theme="4"/>
        <bgColor indexed="64"/>
      </patternFill>
    </fill>
    <fill>
      <patternFill patternType="solid">
        <fgColor theme="0"/>
        <bgColor indexed="64"/>
      </patternFill>
    </fill>
    <fill>
      <patternFill patternType="solid">
        <fgColor theme="4" tint="0.59999389629810485"/>
        <bgColor indexed="64"/>
      </patternFill>
    </fill>
    <fill>
      <patternFill patternType="solid">
        <fgColor rgb="FFFFC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1">
    <xf numFmtId="0" fontId="0" fillId="0" borderId="0"/>
  </cellStyleXfs>
  <cellXfs count="45">
    <xf numFmtId="0" fontId="0" fillId="0" borderId="0" xfId="0"/>
    <xf numFmtId="0" fontId="4" fillId="2" borderId="0" xfId="0" applyFont="1" applyFill="1"/>
    <xf numFmtId="0" fontId="1" fillId="3" borderId="1" xfId="0" applyFont="1" applyFill="1" applyBorder="1"/>
    <xf numFmtId="0" fontId="0" fillId="0" borderId="1" xfId="0" applyBorder="1"/>
    <xf numFmtId="164" fontId="3" fillId="0" borderId="1" xfId="0" applyNumberFormat="1" applyFont="1" applyBorder="1"/>
    <xf numFmtId="0" fontId="1" fillId="3" borderId="2" xfId="0" applyFont="1" applyFill="1" applyBorder="1"/>
    <xf numFmtId="0" fontId="0" fillId="0" borderId="2" xfId="0" applyBorder="1"/>
    <xf numFmtId="0" fontId="1" fillId="0" borderId="3" xfId="0" applyFont="1" applyBorder="1"/>
    <xf numFmtId="0" fontId="0" fillId="0" borderId="4" xfId="0" applyBorder="1"/>
    <xf numFmtId="0" fontId="0" fillId="0" borderId="5" xfId="0" applyBorder="1"/>
    <xf numFmtId="0" fontId="1" fillId="2" borderId="3" xfId="0" applyFont="1" applyFill="1" applyBorder="1"/>
    <xf numFmtId="0" fontId="0" fillId="2" borderId="4" xfId="0" applyFill="1" applyBorder="1"/>
    <xf numFmtId="0" fontId="0" fillId="2" borderId="5" xfId="0" applyFill="1" applyBorder="1"/>
    <xf numFmtId="0" fontId="1" fillId="2" borderId="6" xfId="0" applyFont="1" applyFill="1" applyBorder="1"/>
    <xf numFmtId="0" fontId="0" fillId="2" borderId="7" xfId="0" applyFill="1" applyBorder="1"/>
    <xf numFmtId="0" fontId="0" fillId="2" borderId="8" xfId="0" applyFill="1" applyBorder="1"/>
    <xf numFmtId="0" fontId="1" fillId="4" borderId="1" xfId="0" applyFont="1" applyFill="1" applyBorder="1"/>
    <xf numFmtId="0" fontId="5" fillId="0" borderId="0" xfId="0" applyFont="1"/>
    <xf numFmtId="0" fontId="5" fillId="2" borderId="0" xfId="0" applyFont="1" applyFill="1"/>
    <xf numFmtId="0" fontId="4" fillId="4" borderId="1" xfId="0" applyFont="1" applyFill="1" applyBorder="1"/>
    <xf numFmtId="0" fontId="4" fillId="2" borderId="6" xfId="0" applyFont="1" applyFill="1" applyBorder="1"/>
    <xf numFmtId="0" fontId="5" fillId="2" borderId="7" xfId="0" applyFont="1" applyFill="1" applyBorder="1"/>
    <xf numFmtId="0" fontId="5" fillId="2" borderId="8" xfId="0" applyFont="1" applyFill="1" applyBorder="1"/>
    <xf numFmtId="0" fontId="4" fillId="5" borderId="1" xfId="0" applyFont="1" applyFill="1" applyBorder="1"/>
    <xf numFmtId="0" fontId="4" fillId="0" borderId="1" xfId="0" applyFont="1" applyBorder="1"/>
    <xf numFmtId="164" fontId="2" fillId="0" borderId="1" xfId="0" applyNumberFormat="1" applyFont="1" applyBorder="1"/>
    <xf numFmtId="0" fontId="0" fillId="0" borderId="0" xfId="0" pivotButton="1"/>
    <xf numFmtId="0" fontId="0" fillId="2" borderId="0" xfId="0" applyFill="1"/>
    <xf numFmtId="0" fontId="1" fillId="2" borderId="0" xfId="0" applyFont="1" applyFill="1"/>
    <xf numFmtId="0" fontId="0" fillId="2" borderId="1" xfId="0" applyFill="1" applyBorder="1"/>
    <xf numFmtId="0" fontId="5" fillId="0" borderId="1" xfId="0" applyFont="1" applyBorder="1"/>
    <xf numFmtId="0" fontId="1" fillId="6" borderId="1" xfId="0" applyFont="1" applyFill="1" applyBorder="1"/>
    <xf numFmtId="0" fontId="4" fillId="2" borderId="0" xfId="0" applyFont="1" applyFill="1" applyAlignment="1">
      <alignment horizontal="center"/>
    </xf>
    <xf numFmtId="0" fontId="5" fillId="0" borderId="0" xfId="0" applyFont="1" applyAlignment="1">
      <alignment horizontal="center"/>
    </xf>
    <xf numFmtId="0" fontId="0" fillId="7" borderId="0" xfId="0" applyFill="1"/>
    <xf numFmtId="0" fontId="6" fillId="7" borderId="0" xfId="0" applyFont="1" applyFill="1"/>
    <xf numFmtId="0" fontId="0" fillId="0" borderId="0" xfId="0" applyNumberFormat="1"/>
    <xf numFmtId="0" fontId="7" fillId="3" borderId="1" xfId="0" applyFont="1" applyFill="1" applyBorder="1"/>
    <xf numFmtId="0" fontId="0" fillId="0" borderId="0" xfId="0" applyAlignment="1">
      <alignment horizontal="left"/>
    </xf>
    <xf numFmtId="0" fontId="8" fillId="8" borderId="9" xfId="0" applyFont="1" applyFill="1" applyBorder="1" applyAlignment="1">
      <alignment horizontal="center" vertical="center"/>
    </xf>
    <xf numFmtId="0" fontId="8" fillId="8" borderId="10" xfId="0" applyFont="1" applyFill="1" applyBorder="1" applyAlignment="1">
      <alignment horizontal="center" vertical="center"/>
    </xf>
    <xf numFmtId="0" fontId="8" fillId="8" borderId="11" xfId="0" applyFont="1" applyFill="1" applyBorder="1" applyAlignment="1">
      <alignment horizontal="center" vertical="center"/>
    </xf>
    <xf numFmtId="0" fontId="8" fillId="8" borderId="12" xfId="0" applyFont="1" applyFill="1" applyBorder="1" applyAlignment="1">
      <alignment horizontal="center" vertical="center"/>
    </xf>
    <xf numFmtId="0" fontId="8" fillId="8" borderId="13" xfId="0" applyFont="1" applyFill="1" applyBorder="1" applyAlignment="1">
      <alignment horizontal="center" vertical="center"/>
    </xf>
    <xf numFmtId="0" fontId="8" fillId="8" borderId="14" xfId="0" applyFont="1" applyFill="1" applyBorder="1" applyAlignment="1">
      <alignment horizontal="center" vertical="center"/>
    </xf>
  </cellXfs>
  <cellStyles count="1">
    <cellStyle name="Normal" xfId="0" builtinId="0"/>
  </cellStyles>
  <dxfs count="3">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07/relationships/slicerCache" Target="slicerCaches/slicerCache10.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07/relationships/slicerCache" Target="slicerCaches/slicerCache9.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7.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openxmlformats.org/officeDocument/2006/relationships/theme" Target="theme/theme1.xml"/><Relationship Id="rId30"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performance Analysis Dashboard.xlsx]10_Pivot_Tables!PivotTable1</c:name>
    <c:fmtId val="0"/>
  </c:pivotSource>
  <c:chart>
    <c:autoTitleDeleted val="0"/>
    <c:pivotFmts>
      <c:pivotFmt>
        <c:idx val="0"/>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'10_Pivot_Tables'!$D$1</c:f>
              <c:strCache>
                <c:ptCount val="1"/>
                <c:pt idx="0">
                  <c:v>Sum of Sales</c:v>
                </c:pt>
              </c:strCache>
            </c:strRef>
          </c:tx>
          <c:spPr>
            <a:solidFill>
              <a:schemeClr val="accent1"/>
            </a:solidFill>
            <a:ln/>
            <a:effectLst/>
            <a:sp3d/>
          </c:spPr>
          <c:cat>
            <c:multiLvlStrRef>
              <c:f>'10_Pivot_Tables'!$B$2:$C$17</c:f>
              <c:multiLvlStrCache>
                <c:ptCount val="12"/>
                <c:lvl>
                  <c:pt idx="0">
                    <c:v>East</c:v>
                  </c:pt>
                  <c:pt idx="1">
                    <c:v>North</c:v>
                  </c:pt>
                  <c:pt idx="2">
                    <c:v>South</c:v>
                  </c:pt>
                  <c:pt idx="3">
                    <c:v>West</c:v>
                  </c:pt>
                  <c:pt idx="4">
                    <c:v>East</c:v>
                  </c:pt>
                  <c:pt idx="5">
                    <c:v>North</c:v>
                  </c:pt>
                  <c:pt idx="6">
                    <c:v>South</c:v>
                  </c:pt>
                  <c:pt idx="7">
                    <c:v>West</c:v>
                  </c:pt>
                  <c:pt idx="8">
                    <c:v>East</c:v>
                  </c:pt>
                  <c:pt idx="9">
                    <c:v>North</c:v>
                  </c:pt>
                  <c:pt idx="10">
                    <c:v>South</c:v>
                  </c:pt>
                  <c:pt idx="11">
                    <c:v>West</c:v>
                  </c:pt>
                </c:lvl>
                <c:lvl>
                  <c:pt idx="0">
                    <c:v>Furniture</c:v>
                  </c:pt>
                  <c:pt idx="4">
                    <c:v>Office Supplies</c:v>
                  </c:pt>
                  <c:pt idx="8">
                    <c:v>Technology</c:v>
                  </c:pt>
                </c:lvl>
              </c:multiLvlStrCache>
            </c:multiLvlStrRef>
          </c:cat>
          <c:val>
            <c:numRef>
              <c:f>'10_Pivot_Tables'!$D$2:$D$17</c:f>
              <c:numCache>
                <c:formatCode>General</c:formatCode>
                <c:ptCount val="12"/>
                <c:pt idx="0">
                  <c:v>46152.739999999991</c:v>
                </c:pt>
                <c:pt idx="1">
                  <c:v>23614.859999999997</c:v>
                </c:pt>
                <c:pt idx="2">
                  <c:v>42193.719999999994</c:v>
                </c:pt>
                <c:pt idx="3">
                  <c:v>22211.11</c:v>
                </c:pt>
                <c:pt idx="4">
                  <c:v>39127</c:v>
                </c:pt>
                <c:pt idx="5">
                  <c:v>23251.820000000003</c:v>
                </c:pt>
                <c:pt idx="6">
                  <c:v>42595.05</c:v>
                </c:pt>
                <c:pt idx="7">
                  <c:v>50906.970000000008</c:v>
                </c:pt>
                <c:pt idx="8">
                  <c:v>42482.640000000007</c:v>
                </c:pt>
                <c:pt idx="9">
                  <c:v>28487.279999999988</c:v>
                </c:pt>
                <c:pt idx="10">
                  <c:v>30677.43</c:v>
                </c:pt>
                <c:pt idx="11">
                  <c:v>31511.179999999993</c:v>
                </c:pt>
              </c:numCache>
            </c:numRef>
          </c:val>
          <c:extLst>
            <c:ext xmlns:c16="http://schemas.microsoft.com/office/drawing/2014/chart" uri="{C3380CC4-5D6E-409C-BE32-E72D297353CC}">
              <c16:uniqueId val="{00000000-96D5-4ED9-8971-5AD99D39FE5A}"/>
            </c:ext>
          </c:extLst>
        </c:ser>
        <c:ser>
          <c:idx val="1"/>
          <c:order val="1"/>
          <c:tx>
            <c:strRef>
              <c:f>'10_Pivot_Tables'!$E$1</c:f>
              <c:strCache>
                <c:ptCount val="1"/>
                <c:pt idx="0">
                  <c:v>Sum of Profit</c:v>
                </c:pt>
              </c:strCache>
            </c:strRef>
          </c:tx>
          <c:spPr>
            <a:solidFill>
              <a:schemeClr val="accent2"/>
            </a:solidFill>
            <a:ln/>
            <a:effectLst/>
            <a:sp3d/>
          </c:spPr>
          <c:cat>
            <c:multiLvlStrRef>
              <c:f>'10_Pivot_Tables'!$B$2:$C$17</c:f>
              <c:multiLvlStrCache>
                <c:ptCount val="12"/>
                <c:lvl>
                  <c:pt idx="0">
                    <c:v>East</c:v>
                  </c:pt>
                  <c:pt idx="1">
                    <c:v>North</c:v>
                  </c:pt>
                  <c:pt idx="2">
                    <c:v>South</c:v>
                  </c:pt>
                  <c:pt idx="3">
                    <c:v>West</c:v>
                  </c:pt>
                  <c:pt idx="4">
                    <c:v>East</c:v>
                  </c:pt>
                  <c:pt idx="5">
                    <c:v>North</c:v>
                  </c:pt>
                  <c:pt idx="6">
                    <c:v>South</c:v>
                  </c:pt>
                  <c:pt idx="7">
                    <c:v>West</c:v>
                  </c:pt>
                  <c:pt idx="8">
                    <c:v>East</c:v>
                  </c:pt>
                  <c:pt idx="9">
                    <c:v>North</c:v>
                  </c:pt>
                  <c:pt idx="10">
                    <c:v>South</c:v>
                  </c:pt>
                  <c:pt idx="11">
                    <c:v>West</c:v>
                  </c:pt>
                </c:lvl>
                <c:lvl>
                  <c:pt idx="0">
                    <c:v>Furniture</c:v>
                  </c:pt>
                  <c:pt idx="4">
                    <c:v>Office Supplies</c:v>
                  </c:pt>
                  <c:pt idx="8">
                    <c:v>Technology</c:v>
                  </c:pt>
                </c:lvl>
              </c:multiLvlStrCache>
            </c:multiLvlStrRef>
          </c:cat>
          <c:val>
            <c:numRef>
              <c:f>'10_Pivot_Tables'!$E$2:$E$17</c:f>
              <c:numCache>
                <c:formatCode>General</c:formatCode>
                <c:ptCount val="12"/>
                <c:pt idx="0">
                  <c:v>11866.020000000004</c:v>
                </c:pt>
                <c:pt idx="1">
                  <c:v>5252.1600000000008</c:v>
                </c:pt>
                <c:pt idx="2">
                  <c:v>9397.3000000000011</c:v>
                </c:pt>
                <c:pt idx="3">
                  <c:v>5228.8100000000004</c:v>
                </c:pt>
                <c:pt idx="4">
                  <c:v>9409.6000000000022</c:v>
                </c:pt>
                <c:pt idx="5">
                  <c:v>5561.7</c:v>
                </c:pt>
                <c:pt idx="6">
                  <c:v>9714.61</c:v>
                </c:pt>
                <c:pt idx="7">
                  <c:v>10780.199999999999</c:v>
                </c:pt>
                <c:pt idx="8">
                  <c:v>9104.7199999999993</c:v>
                </c:pt>
                <c:pt idx="9">
                  <c:v>7138.4899999999989</c:v>
                </c:pt>
                <c:pt idx="10">
                  <c:v>6418.0000000000009</c:v>
                </c:pt>
                <c:pt idx="11">
                  <c:v>7026.0500000000011</c:v>
                </c:pt>
              </c:numCache>
            </c:numRef>
          </c:val>
          <c:extLst>
            <c:ext xmlns:c16="http://schemas.microsoft.com/office/drawing/2014/chart" uri="{C3380CC4-5D6E-409C-BE32-E72D297353CC}">
              <c16:uniqueId val="{00000001-96D5-4ED9-8971-5AD99D39FE5A}"/>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175018992"/>
        <c:axId val="1175010352"/>
        <c:axId val="1179337776"/>
      </c:surface3DChart>
      <c:catAx>
        <c:axId val="1175018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010352"/>
        <c:crosses val="autoZero"/>
        <c:auto val="1"/>
        <c:lblAlgn val="ctr"/>
        <c:lblOffset val="100"/>
        <c:noMultiLvlLbl val="0"/>
      </c:catAx>
      <c:valAx>
        <c:axId val="117501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018992"/>
        <c:crosses val="autoZero"/>
        <c:crossBetween val="midCat"/>
      </c:valAx>
      <c:serAx>
        <c:axId val="117933777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0103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performance Analysis Dashboard.xlsx]Sheet3!PivotTable1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Sheet3!$A$4:$A$6</c:f>
              <c:strCache>
                <c:ptCount val="3"/>
                <c:pt idx="0">
                  <c:v>Furniture</c:v>
                </c:pt>
                <c:pt idx="1">
                  <c:v>Office Supplies</c:v>
                </c:pt>
                <c:pt idx="2">
                  <c:v>Technology</c:v>
                </c:pt>
              </c:strCache>
            </c:strRef>
          </c:cat>
          <c:val>
            <c:numRef>
              <c:f>Sheet3!$B$4:$B$6</c:f>
              <c:numCache>
                <c:formatCode>General</c:formatCode>
                <c:ptCount val="3"/>
                <c:pt idx="0">
                  <c:v>129</c:v>
                </c:pt>
                <c:pt idx="1">
                  <c:v>136</c:v>
                </c:pt>
                <c:pt idx="2">
                  <c:v>135</c:v>
                </c:pt>
              </c:numCache>
            </c:numRef>
          </c:val>
          <c:extLst>
            <c:ext xmlns:c16="http://schemas.microsoft.com/office/drawing/2014/chart" uri="{C3380CC4-5D6E-409C-BE32-E72D297353CC}">
              <c16:uniqueId val="{00000002-ACA4-4161-B2FD-5DF3A8AEA1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performance Analysis Dashboard.xlsx]Sheet5!PivotTable2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Sheet5!$A$4:$A$15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Sheet5!$B$4:$B$15</c:f>
              <c:numCache>
                <c:formatCode>General</c:formatCode>
                <c:ptCount val="12"/>
                <c:pt idx="0">
                  <c:v>34152.6</c:v>
                </c:pt>
                <c:pt idx="1">
                  <c:v>30597.510000000006</c:v>
                </c:pt>
                <c:pt idx="2">
                  <c:v>48695.149999999994</c:v>
                </c:pt>
                <c:pt idx="3">
                  <c:v>29491.200000000001</c:v>
                </c:pt>
                <c:pt idx="4">
                  <c:v>35527.06</c:v>
                </c:pt>
                <c:pt idx="5">
                  <c:v>33791.800000000003</c:v>
                </c:pt>
                <c:pt idx="6">
                  <c:v>31030.490000000005</c:v>
                </c:pt>
                <c:pt idx="7">
                  <c:v>34995.099999999991</c:v>
                </c:pt>
                <c:pt idx="8">
                  <c:v>25192.01</c:v>
                </c:pt>
                <c:pt idx="9">
                  <c:v>42099.700000000004</c:v>
                </c:pt>
                <c:pt idx="10">
                  <c:v>33042.58</c:v>
                </c:pt>
                <c:pt idx="11">
                  <c:v>42036.2</c:v>
                </c:pt>
              </c:numCache>
            </c:numRef>
          </c:val>
          <c:extLst>
            <c:ext xmlns:c16="http://schemas.microsoft.com/office/drawing/2014/chart" uri="{C3380CC4-5D6E-409C-BE32-E72D297353CC}">
              <c16:uniqueId val="{00000000-DA96-4645-B5AA-AC3D8E25FFC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performance Analysis Dashboard.xlsx]Sheet6!PivotTable3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Sheet6!$A$4:$A$6</c:f>
              <c:strCache>
                <c:ptCount val="3"/>
                <c:pt idx="0">
                  <c:v>Consumer</c:v>
                </c:pt>
                <c:pt idx="1">
                  <c:v>Corporate</c:v>
                </c:pt>
                <c:pt idx="2">
                  <c:v>Home Office</c:v>
                </c:pt>
              </c:strCache>
            </c:strRef>
          </c:cat>
          <c:val>
            <c:numRef>
              <c:f>Sheet6!$B$4:$B$6</c:f>
              <c:numCache>
                <c:formatCode>General</c:formatCode>
                <c:ptCount val="3"/>
                <c:pt idx="0">
                  <c:v>19.2</c:v>
                </c:pt>
                <c:pt idx="1">
                  <c:v>16.920000000000002</c:v>
                </c:pt>
                <c:pt idx="2">
                  <c:v>23.280000000000005</c:v>
                </c:pt>
              </c:numCache>
            </c:numRef>
          </c:val>
          <c:extLst>
            <c:ext xmlns:c16="http://schemas.microsoft.com/office/drawing/2014/chart" uri="{C3380CC4-5D6E-409C-BE32-E72D297353CC}">
              <c16:uniqueId val="{00000000-1A4E-402A-94D2-E4BAD4C24CF0}"/>
            </c:ext>
          </c:extLst>
        </c:ser>
        <c:dLbls>
          <c:dLblPos val="inEnd"/>
          <c:showLegendKey val="0"/>
          <c:showVal val="1"/>
          <c:showCatName val="0"/>
          <c:showSerName val="0"/>
          <c:showPercent val="0"/>
          <c:showBubbleSize val="0"/>
        </c:dLbls>
        <c:gapWidth val="65"/>
        <c:axId val="876147952"/>
        <c:axId val="876148432"/>
      </c:barChart>
      <c:catAx>
        <c:axId val="876147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6148432"/>
        <c:crosses val="autoZero"/>
        <c:auto val="1"/>
        <c:lblAlgn val="ctr"/>
        <c:lblOffset val="100"/>
        <c:noMultiLvlLbl val="0"/>
      </c:catAx>
      <c:valAx>
        <c:axId val="8761484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761479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performance Analysis Dashboard.xlsx]10_Pivot_Tables!PivotTable1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'10_Pivot_Tables'!$D$1</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cat>
            <c:multiLvlStrRef>
              <c:f>'10_Pivot_Tables'!$B$2:$C$17</c:f>
              <c:multiLvlStrCache>
                <c:ptCount val="12"/>
                <c:lvl>
                  <c:pt idx="0">
                    <c:v>East</c:v>
                  </c:pt>
                  <c:pt idx="1">
                    <c:v>North</c:v>
                  </c:pt>
                  <c:pt idx="2">
                    <c:v>South</c:v>
                  </c:pt>
                  <c:pt idx="3">
                    <c:v>West</c:v>
                  </c:pt>
                  <c:pt idx="4">
                    <c:v>East</c:v>
                  </c:pt>
                  <c:pt idx="5">
                    <c:v>North</c:v>
                  </c:pt>
                  <c:pt idx="6">
                    <c:v>South</c:v>
                  </c:pt>
                  <c:pt idx="7">
                    <c:v>West</c:v>
                  </c:pt>
                  <c:pt idx="8">
                    <c:v>East</c:v>
                  </c:pt>
                  <c:pt idx="9">
                    <c:v>North</c:v>
                  </c:pt>
                  <c:pt idx="10">
                    <c:v>South</c:v>
                  </c:pt>
                  <c:pt idx="11">
                    <c:v>West</c:v>
                  </c:pt>
                </c:lvl>
                <c:lvl>
                  <c:pt idx="0">
                    <c:v>Furniture</c:v>
                  </c:pt>
                  <c:pt idx="4">
                    <c:v>Office Supplies</c:v>
                  </c:pt>
                  <c:pt idx="8">
                    <c:v>Technology</c:v>
                  </c:pt>
                </c:lvl>
              </c:multiLvlStrCache>
            </c:multiLvlStrRef>
          </c:cat>
          <c:val>
            <c:numRef>
              <c:f>'10_Pivot_Tables'!$D$2:$D$17</c:f>
              <c:numCache>
                <c:formatCode>General</c:formatCode>
                <c:ptCount val="12"/>
                <c:pt idx="0">
                  <c:v>46152.739999999991</c:v>
                </c:pt>
                <c:pt idx="1">
                  <c:v>23614.859999999997</c:v>
                </c:pt>
                <c:pt idx="2">
                  <c:v>42193.719999999994</c:v>
                </c:pt>
                <c:pt idx="3">
                  <c:v>22211.11</c:v>
                </c:pt>
                <c:pt idx="4">
                  <c:v>39127</c:v>
                </c:pt>
                <c:pt idx="5">
                  <c:v>23251.820000000003</c:v>
                </c:pt>
                <c:pt idx="6">
                  <c:v>42595.05</c:v>
                </c:pt>
                <c:pt idx="7">
                  <c:v>50906.970000000008</c:v>
                </c:pt>
                <c:pt idx="8">
                  <c:v>42482.640000000007</c:v>
                </c:pt>
                <c:pt idx="9">
                  <c:v>28487.279999999988</c:v>
                </c:pt>
                <c:pt idx="10">
                  <c:v>30677.43</c:v>
                </c:pt>
                <c:pt idx="11">
                  <c:v>31511.179999999993</c:v>
                </c:pt>
              </c:numCache>
            </c:numRef>
          </c:val>
          <c:extLst>
            <c:ext xmlns:c16="http://schemas.microsoft.com/office/drawing/2014/chart" uri="{C3380CC4-5D6E-409C-BE32-E72D297353CC}">
              <c16:uniqueId val="{00000000-3C2E-40F9-B392-0FE3468D342B}"/>
            </c:ext>
          </c:extLst>
        </c:ser>
        <c:ser>
          <c:idx val="1"/>
          <c:order val="1"/>
          <c:tx>
            <c:strRef>
              <c:f>'10_Pivot_Tables'!$E$1</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effectLst>
              <a:outerShdw blurRad="40000" dist="23000" dir="5400000" rotWithShape="0">
                <a:srgbClr val="000000">
                  <a:alpha val="35000"/>
                </a:srgbClr>
              </a:outerShdw>
            </a:effectLst>
            <a:sp3d/>
          </c:spPr>
          <c:cat>
            <c:multiLvlStrRef>
              <c:f>'10_Pivot_Tables'!$B$2:$C$17</c:f>
              <c:multiLvlStrCache>
                <c:ptCount val="12"/>
                <c:lvl>
                  <c:pt idx="0">
                    <c:v>East</c:v>
                  </c:pt>
                  <c:pt idx="1">
                    <c:v>North</c:v>
                  </c:pt>
                  <c:pt idx="2">
                    <c:v>South</c:v>
                  </c:pt>
                  <c:pt idx="3">
                    <c:v>West</c:v>
                  </c:pt>
                  <c:pt idx="4">
                    <c:v>East</c:v>
                  </c:pt>
                  <c:pt idx="5">
                    <c:v>North</c:v>
                  </c:pt>
                  <c:pt idx="6">
                    <c:v>South</c:v>
                  </c:pt>
                  <c:pt idx="7">
                    <c:v>West</c:v>
                  </c:pt>
                  <c:pt idx="8">
                    <c:v>East</c:v>
                  </c:pt>
                  <c:pt idx="9">
                    <c:v>North</c:v>
                  </c:pt>
                  <c:pt idx="10">
                    <c:v>South</c:v>
                  </c:pt>
                  <c:pt idx="11">
                    <c:v>West</c:v>
                  </c:pt>
                </c:lvl>
                <c:lvl>
                  <c:pt idx="0">
                    <c:v>Furniture</c:v>
                  </c:pt>
                  <c:pt idx="4">
                    <c:v>Office Supplies</c:v>
                  </c:pt>
                  <c:pt idx="8">
                    <c:v>Technology</c:v>
                  </c:pt>
                </c:lvl>
              </c:multiLvlStrCache>
            </c:multiLvlStrRef>
          </c:cat>
          <c:val>
            <c:numRef>
              <c:f>'10_Pivot_Tables'!$E$2:$E$17</c:f>
              <c:numCache>
                <c:formatCode>General</c:formatCode>
                <c:ptCount val="12"/>
                <c:pt idx="0">
                  <c:v>11866.020000000004</c:v>
                </c:pt>
                <c:pt idx="1">
                  <c:v>5252.1600000000008</c:v>
                </c:pt>
                <c:pt idx="2">
                  <c:v>9397.3000000000011</c:v>
                </c:pt>
                <c:pt idx="3">
                  <c:v>5228.8100000000004</c:v>
                </c:pt>
                <c:pt idx="4">
                  <c:v>9409.6000000000022</c:v>
                </c:pt>
                <c:pt idx="5">
                  <c:v>5561.7</c:v>
                </c:pt>
                <c:pt idx="6">
                  <c:v>9714.61</c:v>
                </c:pt>
                <c:pt idx="7">
                  <c:v>10780.199999999999</c:v>
                </c:pt>
                <c:pt idx="8">
                  <c:v>9104.7199999999993</c:v>
                </c:pt>
                <c:pt idx="9">
                  <c:v>7138.4899999999989</c:v>
                </c:pt>
                <c:pt idx="10">
                  <c:v>6418.0000000000009</c:v>
                </c:pt>
                <c:pt idx="11">
                  <c:v>7026.0500000000011</c:v>
                </c:pt>
              </c:numCache>
            </c:numRef>
          </c:val>
          <c:extLst>
            <c:ext xmlns:c16="http://schemas.microsoft.com/office/drawing/2014/chart" uri="{C3380CC4-5D6E-409C-BE32-E72D297353CC}">
              <c16:uniqueId val="{00000001-3C2E-40F9-B392-0FE3468D342B}"/>
            </c:ext>
          </c:extLst>
        </c:ser>
        <c:bandFmts>
          <c:band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p3d/>
            </c:spPr>
          </c:bandFmt>
          <c:band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effectLst>
                <a:outerShdw blurRad="40000" dist="23000" dir="5400000" rotWithShape="0">
                  <a:srgbClr val="000000">
                    <a:alpha val="35000"/>
                  </a:srgbClr>
                </a:outerShdw>
              </a:effectLst>
              <a:sp3d/>
            </c:spPr>
          </c:bandFmt>
          <c:band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effectLst>
                <a:outerShdw blurRad="40000" dist="23000" dir="5400000" rotWithShape="0">
                  <a:srgbClr val="000000">
                    <a:alpha val="35000"/>
                  </a:srgbClr>
                </a:outerShdw>
              </a:effectLst>
              <a:sp3d/>
            </c:spPr>
          </c:bandFmt>
          <c:band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effectLst>
                <a:outerShdw blurRad="40000" dist="23000" dir="5400000" rotWithShape="0">
                  <a:srgbClr val="000000">
                    <a:alpha val="35000"/>
                  </a:srgbClr>
                </a:outerShdw>
              </a:effectLst>
              <a:sp3d/>
            </c:spPr>
          </c:bandFmt>
          <c:band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effectLst>
                <a:outerShdw blurRad="40000" dist="23000" dir="5400000" rotWithShape="0">
                  <a:srgbClr val="000000">
                    <a:alpha val="35000"/>
                  </a:srgbClr>
                </a:outerShdw>
              </a:effectLst>
              <a:sp3d/>
            </c:spPr>
          </c:bandFmt>
          <c:band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effectLst>
                <a:outerShdw blurRad="40000" dist="23000" dir="5400000" rotWithShape="0">
                  <a:srgbClr val="000000">
                    <a:alpha val="35000"/>
                  </a:srgbClr>
                </a:outerShdw>
              </a:effectLst>
              <a:sp3d/>
            </c:spPr>
          </c:bandFmt>
          <c:bandFmt>
            <c:idx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effectLst>
                <a:outerShdw blurRad="40000" dist="23000" dir="5400000" rotWithShape="0">
                  <a:srgbClr val="000000">
                    <a:alpha val="35000"/>
                  </a:srgbClr>
                </a:outerShdw>
              </a:effectLst>
              <a:sp3d/>
            </c:spPr>
          </c:bandFmt>
          <c:bandFmt>
            <c:idx val="7"/>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effectLst>
                <a:outerShdw blurRad="40000" dist="23000" dir="5400000" rotWithShape="0">
                  <a:srgbClr val="000000">
                    <a:alpha val="35000"/>
                  </a:srgbClr>
                </a:outerShdw>
              </a:effectLst>
              <a:sp3d/>
            </c:spPr>
          </c:bandFmt>
          <c:bandFmt>
            <c:idx val="8"/>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effectLst>
                <a:outerShdw blurRad="40000" dist="23000" dir="5400000" rotWithShape="0">
                  <a:srgbClr val="000000">
                    <a:alpha val="35000"/>
                  </a:srgbClr>
                </a:outerShdw>
              </a:effectLst>
              <a:sp3d/>
            </c:spPr>
          </c:bandFmt>
          <c:bandFmt>
            <c:idx val="9"/>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effectLst>
                <a:outerShdw blurRad="40000" dist="23000" dir="5400000" rotWithShape="0">
                  <a:srgbClr val="000000">
                    <a:alpha val="35000"/>
                  </a:srgbClr>
                </a:outerShdw>
              </a:effectLst>
              <a:sp3d/>
            </c:spPr>
          </c:bandFmt>
          <c:bandFmt>
            <c:idx val="1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effectLst>
                <a:outerShdw blurRad="40000" dist="23000" dir="5400000" rotWithShape="0">
                  <a:srgbClr val="000000">
                    <a:alpha val="35000"/>
                  </a:srgbClr>
                </a:outerShdw>
              </a:effectLst>
              <a:sp3d/>
            </c:spPr>
          </c:bandFmt>
          <c:bandFmt>
            <c:idx val="11"/>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effectLst>
                <a:outerShdw blurRad="40000" dist="23000" dir="5400000" rotWithShape="0">
                  <a:srgbClr val="000000">
                    <a:alpha val="35000"/>
                  </a:srgbClr>
                </a:outerShdw>
              </a:effectLst>
              <a:sp3d/>
            </c:spPr>
          </c:bandFmt>
          <c:bandFmt>
            <c:idx val="12"/>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effectLst>
                <a:outerShdw blurRad="40000" dist="23000" dir="5400000" rotWithShape="0">
                  <a:srgbClr val="000000">
                    <a:alpha val="35000"/>
                  </a:srgbClr>
                </a:outerShdw>
              </a:effectLst>
              <a:sp3d/>
            </c:spPr>
          </c:bandFmt>
          <c:bandFmt>
            <c:idx val="13"/>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effectLst>
                <a:outerShdw blurRad="40000" dist="23000" dir="5400000" rotWithShape="0">
                  <a:srgbClr val="000000">
                    <a:alpha val="35000"/>
                  </a:srgbClr>
                </a:outerShdw>
              </a:effectLst>
              <a:sp3d/>
            </c:spPr>
          </c:bandFmt>
          <c:bandFmt>
            <c:idx val="14"/>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effectLst>
                <a:outerShdw blurRad="40000" dist="23000" dir="5400000" rotWithShape="0">
                  <a:srgbClr val="000000">
                    <a:alpha val="35000"/>
                  </a:srgbClr>
                </a:outerShdw>
              </a:effectLst>
              <a:sp3d/>
            </c:spPr>
          </c:bandFmt>
        </c:bandFmts>
        <c:axId val="1175018992"/>
        <c:axId val="1175010352"/>
        <c:axId val="1179337776"/>
      </c:surface3DChart>
      <c:catAx>
        <c:axId val="117501899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5010352"/>
        <c:crosses val="autoZero"/>
        <c:auto val="1"/>
        <c:lblAlgn val="ctr"/>
        <c:lblOffset val="100"/>
        <c:noMultiLvlLbl val="0"/>
      </c:catAx>
      <c:valAx>
        <c:axId val="11750103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5018992"/>
        <c:crosses val="autoZero"/>
        <c:crossBetween val="midCat"/>
      </c:valAx>
      <c:serAx>
        <c:axId val="1179337776"/>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50103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performance Analysis Dashboard.xlsx]Sheet3!PivotTable1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Sheet3!$B$3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27C-45D0-AE58-648D035B0F9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827C-45D0-AE58-648D035B0F9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827C-45D0-AE58-648D035B0F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Sheet3!$A$4:$A$6</c:f>
              <c:strCache>
                <c:ptCount val="3"/>
                <c:pt idx="0">
                  <c:v>Furniture</c:v>
                </c:pt>
                <c:pt idx="1">
                  <c:v>Office Supplies</c:v>
                </c:pt>
                <c:pt idx="2">
                  <c:v>Technology</c:v>
                </c:pt>
              </c:strCache>
            </c:strRef>
          </c:cat>
          <c:val>
            <c:numRef>
              <c:f>Sheet3!$B$4:$B$6</c:f>
              <c:numCache>
                <c:formatCode>General</c:formatCode>
                <c:ptCount val="3"/>
                <c:pt idx="0">
                  <c:v>129</c:v>
                </c:pt>
                <c:pt idx="1">
                  <c:v>136</c:v>
                </c:pt>
                <c:pt idx="2">
                  <c:v>135</c:v>
                </c:pt>
              </c:numCache>
            </c:numRef>
          </c:val>
          <c:extLst>
            <c:ext xmlns:c16="http://schemas.microsoft.com/office/drawing/2014/chart" uri="{C3380CC4-5D6E-409C-BE32-E72D297353CC}">
              <c16:uniqueId val="{00000007-827C-45D0-AE58-648D035B0F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performance Analysis Dashboard.xlsx]Sheet5!PivotTable2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6"/>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7"/>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8"/>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9"/>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20"/>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21"/>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22"/>
        <c:spPr>
          <a:solidFill>
            <a:schemeClr val="accent2">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23"/>
        <c:spPr>
          <a:solidFill>
            <a:schemeClr val="accent3">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24"/>
        <c:spPr>
          <a:solidFill>
            <a:schemeClr val="accent4">
              <a:lumMod val="60000"/>
            </a:schemeClr>
          </a:solidFill>
          <a:ln>
            <a:noFill/>
          </a:ln>
          <a:effectLst>
            <a:outerShdw blurRad="63500" sx="102000" sy="102000" algn="ctr" rotWithShape="0">
              <a:prstClr val="black">
                <a:alpha val="20000"/>
              </a:prstClr>
            </a:outerShdw>
          </a:effectLst>
        </c:spPr>
        <c:dLbl>
          <c:idx val="0"/>
          <c:layout>
            <c:manualLayout>
              <c:x val="-1.2795997977317055E-2"/>
              <c:y val="9.444390770172133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26"/>
        <c:spPr>
          <a:solidFill>
            <a:schemeClr val="accent6">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C09-4127-AC46-0CBD0908281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C09-4127-AC46-0CBD0908281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C09-4127-AC46-0CBD0908281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EC09-4127-AC46-0CBD0908281F}"/>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EC09-4127-AC46-0CBD0908281F}"/>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EC09-4127-AC46-0CBD0908281F}"/>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EC09-4127-AC46-0CBD0908281F}"/>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EC09-4127-AC46-0CBD0908281F}"/>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EC09-4127-AC46-0CBD0908281F}"/>
              </c:ext>
            </c:extLst>
          </c:dPt>
          <c:dPt>
            <c:idx val="9"/>
            <c:bubble3D val="0"/>
            <c:explosion val="15"/>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EC09-4127-AC46-0CBD0908281F}"/>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EC09-4127-AC46-0CBD0908281F}"/>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EC09-4127-AC46-0CBD0908281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1-EC09-4127-AC46-0CBD0908281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3-EC09-4127-AC46-0CBD0908281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5-EC09-4127-AC46-0CBD0908281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7-EC09-4127-AC46-0CBD0908281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9-EC09-4127-AC46-0CBD0908281F}"/>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B-EC09-4127-AC46-0CBD0908281F}"/>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D-EC09-4127-AC46-0CBD0908281F}"/>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F-EC09-4127-AC46-0CBD0908281F}"/>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1-EC09-4127-AC46-0CBD0908281F}"/>
                </c:ext>
              </c:extLst>
            </c:dLbl>
            <c:dLbl>
              <c:idx val="9"/>
              <c:layout>
                <c:manualLayout>
                  <c:x val="-1.2795997977317055E-2"/>
                  <c:y val="9.444390770172133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C09-4127-AC46-0CBD0908281F}"/>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5-EC09-4127-AC46-0CBD0908281F}"/>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7-EC09-4127-AC46-0CBD0908281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Sheet5!$B$4:$B$15</c:f>
              <c:numCache>
                <c:formatCode>General</c:formatCode>
                <c:ptCount val="12"/>
                <c:pt idx="0">
                  <c:v>34152.6</c:v>
                </c:pt>
                <c:pt idx="1">
                  <c:v>30597.510000000006</c:v>
                </c:pt>
                <c:pt idx="2">
                  <c:v>48695.149999999994</c:v>
                </c:pt>
                <c:pt idx="3">
                  <c:v>29491.200000000001</c:v>
                </c:pt>
                <c:pt idx="4">
                  <c:v>35527.06</c:v>
                </c:pt>
                <c:pt idx="5">
                  <c:v>33791.800000000003</c:v>
                </c:pt>
                <c:pt idx="6">
                  <c:v>31030.490000000005</c:v>
                </c:pt>
                <c:pt idx="7">
                  <c:v>34995.099999999991</c:v>
                </c:pt>
                <c:pt idx="8">
                  <c:v>25192.01</c:v>
                </c:pt>
                <c:pt idx="9">
                  <c:v>42099.700000000004</c:v>
                </c:pt>
                <c:pt idx="10">
                  <c:v>33042.58</c:v>
                </c:pt>
                <c:pt idx="11">
                  <c:v>42036.2</c:v>
                </c:pt>
              </c:numCache>
            </c:numRef>
          </c:val>
          <c:extLst>
            <c:ext xmlns:c16="http://schemas.microsoft.com/office/drawing/2014/chart" uri="{C3380CC4-5D6E-409C-BE32-E72D297353CC}">
              <c16:uniqueId val="{00000018-EC09-4127-AC46-0CBD090828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performance Analysis Dashboard.xlsx]Sheet6!PivotTable3</c:name>
    <c:fmtId val="3"/>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Sheet6!$A$4:$A$6</c:f>
              <c:strCache>
                <c:ptCount val="3"/>
                <c:pt idx="0">
                  <c:v>Consumer</c:v>
                </c:pt>
                <c:pt idx="1">
                  <c:v>Corporate</c:v>
                </c:pt>
                <c:pt idx="2">
                  <c:v>Home Office</c:v>
                </c:pt>
              </c:strCache>
            </c:strRef>
          </c:cat>
          <c:val>
            <c:numRef>
              <c:f>Sheet6!$B$4:$B$6</c:f>
              <c:numCache>
                <c:formatCode>General</c:formatCode>
                <c:ptCount val="3"/>
                <c:pt idx="0">
                  <c:v>19.2</c:v>
                </c:pt>
                <c:pt idx="1">
                  <c:v>16.920000000000002</c:v>
                </c:pt>
                <c:pt idx="2">
                  <c:v>23.280000000000005</c:v>
                </c:pt>
              </c:numCache>
            </c:numRef>
          </c:val>
          <c:extLst>
            <c:ext xmlns:c16="http://schemas.microsoft.com/office/drawing/2014/chart" uri="{C3380CC4-5D6E-409C-BE32-E72D297353CC}">
              <c16:uniqueId val="{00000000-FD62-4216-BA4F-F82FF0CCB7A2}"/>
            </c:ext>
          </c:extLst>
        </c:ser>
        <c:dLbls>
          <c:dLblPos val="outEnd"/>
          <c:showLegendKey val="0"/>
          <c:showVal val="1"/>
          <c:showCatName val="0"/>
          <c:showSerName val="0"/>
          <c:showPercent val="0"/>
          <c:showBubbleSize val="0"/>
        </c:dLbls>
        <c:gapWidth val="41"/>
        <c:axId val="876147952"/>
        <c:axId val="876148432"/>
      </c:barChart>
      <c:catAx>
        <c:axId val="8761479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876148432"/>
        <c:crosses val="autoZero"/>
        <c:auto val="1"/>
        <c:lblAlgn val="ctr"/>
        <c:lblOffset val="100"/>
        <c:noMultiLvlLbl val="0"/>
      </c:catAx>
      <c:valAx>
        <c:axId val="8761484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76147952"/>
        <c:crosses val="autoZero"/>
        <c:crossBetween val="between"/>
      </c:valAx>
      <c:spPr>
        <a:solidFill>
          <a:schemeClr val="accent6"/>
        </a:solidFill>
        <a:ln w="25400" cap="flat" cmpd="sng" algn="ctr">
          <a:solidFill>
            <a:schemeClr val="accent6">
              <a:shade val="15000"/>
            </a:schemeClr>
          </a:solidFill>
          <a:prstDash val="soli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5</xdr:col>
      <xdr:colOff>289560</xdr:colOff>
      <xdr:row>5</xdr:row>
      <xdr:rowOff>45720</xdr:rowOff>
    </xdr:from>
    <xdr:to>
      <xdr:col>8</xdr:col>
      <xdr:colOff>342900</xdr:colOff>
      <xdr:row>12</xdr:row>
      <xdr:rowOff>38100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64AC4DDF-9E02-61BC-E3BB-8E9CCD1A51A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12180" y="960120"/>
              <a:ext cx="183642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487680</xdr:colOff>
      <xdr:row>1</xdr:row>
      <xdr:rowOff>99060</xdr:rowOff>
    </xdr:from>
    <xdr:to>
      <xdr:col>11</xdr:col>
      <xdr:colOff>388620</xdr:colOff>
      <xdr:row>12</xdr:row>
      <xdr:rowOff>38099</xdr:rowOff>
    </xdr:to>
    <mc:AlternateContent xmlns:mc="http://schemas.openxmlformats.org/markup-compatibility/2006">
      <mc:Choice xmlns:a14="http://schemas.microsoft.com/office/drawing/2010/main" Requires="a14">
        <xdr:graphicFrame macro="">
          <xdr:nvGraphicFramePr>
            <xdr:cNvPr id="3" name="Profit">
              <a:extLst>
                <a:ext uri="{FF2B5EF4-FFF2-40B4-BE49-F238E27FC236}">
                  <a16:creationId xmlns:a16="http://schemas.microsoft.com/office/drawing/2014/main" id="{A7DFE5EE-9103-3BE7-008C-22883795A8E8}"/>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7993380" y="281940"/>
              <a:ext cx="1684020" cy="1958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182880</xdr:colOff>
      <xdr:row>12</xdr:row>
      <xdr:rowOff>179070</xdr:rowOff>
    </xdr:from>
    <xdr:to>
      <xdr:col>12</xdr:col>
      <xdr:colOff>198120</xdr:colOff>
      <xdr:row>27</xdr:row>
      <xdr:rowOff>72390</xdr:rowOff>
    </xdr:to>
    <xdr:graphicFrame macro="">
      <xdr:nvGraphicFramePr>
        <xdr:cNvPr id="4" name="Chart 3">
          <a:extLst>
            <a:ext uri="{FF2B5EF4-FFF2-40B4-BE49-F238E27FC236}">
              <a16:creationId xmlns:a16="http://schemas.microsoft.com/office/drawing/2014/main" id="{948B3E3A-B34C-95D2-A953-FB5858B63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1333500</xdr:colOff>
      <xdr:row>15</xdr:row>
      <xdr:rowOff>167640</xdr:rowOff>
    </xdr:from>
    <xdr:to>
      <xdr:col>1</xdr:col>
      <xdr:colOff>243840</xdr:colOff>
      <xdr:row>27</xdr:row>
      <xdr:rowOff>51435</xdr:rowOff>
    </xdr:to>
    <mc:AlternateContent xmlns:mc="http://schemas.openxmlformats.org/markup-compatibility/2006">
      <mc:Choice xmlns:a14="http://schemas.microsoft.com/office/drawing/2010/main" Requires="a14">
        <xdr:graphicFrame macro="">
          <xdr:nvGraphicFramePr>
            <xdr:cNvPr id="5" name="Order_ID">
              <a:extLst>
                <a:ext uri="{FF2B5EF4-FFF2-40B4-BE49-F238E27FC236}">
                  <a16:creationId xmlns:a16="http://schemas.microsoft.com/office/drawing/2014/main" id="{E5A0C464-DD22-B7E7-3B0D-7294B8DC0E2A}"/>
                </a:ext>
              </a:extLst>
            </xdr:cNvPr>
            <xdr:cNvGraphicFramePr/>
          </xdr:nvGraphicFramePr>
          <xdr:xfrm>
            <a:off x="0" y="0"/>
            <a:ext cx="0" cy="0"/>
          </xdr:xfrm>
          <a:graphic>
            <a:graphicData uri="http://schemas.microsoft.com/office/drawing/2010/slicer">
              <sle:slicer xmlns:sle="http://schemas.microsoft.com/office/drawing/2010/slicer" name="Order_ID"/>
            </a:graphicData>
          </a:graphic>
        </xdr:graphicFrame>
      </mc:Choice>
      <mc:Fallback>
        <xdr:sp macro="" textlink="">
          <xdr:nvSpPr>
            <xdr:cNvPr id="0" name=""/>
            <xdr:cNvSpPr>
              <a:spLocks noTextEdit="1"/>
            </xdr:cNvSpPr>
          </xdr:nvSpPr>
          <xdr:spPr>
            <a:xfrm>
              <a:off x="1333500" y="2918460"/>
              <a:ext cx="1318260" cy="2185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10</xdr:row>
      <xdr:rowOff>137160</xdr:rowOff>
    </xdr:from>
    <xdr:to>
      <xdr:col>0</xdr:col>
      <xdr:colOff>1127760</xdr:colOff>
      <xdr:row>20</xdr:row>
      <xdr:rowOff>173355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E3C52DBD-A5C0-2723-5432-C7FF06F94A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720" y="1973580"/>
              <a:ext cx="1082040" cy="1864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1150620</xdr:colOff>
      <xdr:row>6</xdr:row>
      <xdr:rowOff>152400</xdr:rowOff>
    </xdr:from>
    <xdr:to>
      <xdr:col>0</xdr:col>
      <xdr:colOff>2339340</xdr:colOff>
      <xdr:row>13</xdr:row>
      <xdr:rowOff>120015</xdr:rowOff>
    </xdr:to>
    <mc:AlternateContent xmlns:mc="http://schemas.openxmlformats.org/markup-compatibility/2006">
      <mc:Choice xmlns:a14="http://schemas.microsoft.com/office/drawing/2010/main" Requires="a14">
        <xdr:graphicFrame macro="">
          <xdr:nvGraphicFramePr>
            <xdr:cNvPr id="7" name="Category 3">
              <a:extLst>
                <a:ext uri="{FF2B5EF4-FFF2-40B4-BE49-F238E27FC236}">
                  <a16:creationId xmlns:a16="http://schemas.microsoft.com/office/drawing/2014/main" id="{80E26B1A-5819-0227-B3A2-77F9A3EB947B}"/>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150620" y="1257300"/>
              <a:ext cx="118872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68581</xdr:rowOff>
    </xdr:from>
    <xdr:to>
      <xdr:col>0</xdr:col>
      <xdr:colOff>1196340</xdr:colOff>
      <xdr:row>10</xdr:row>
      <xdr:rowOff>68581</xdr:rowOff>
    </xdr:to>
    <mc:AlternateContent xmlns:mc="http://schemas.openxmlformats.org/markup-compatibility/2006">
      <mc:Choice xmlns:a14="http://schemas.microsoft.com/office/drawing/2010/main" Requires="a14">
        <xdr:graphicFrame macro="">
          <xdr:nvGraphicFramePr>
            <xdr:cNvPr id="8" name="Sub_Category">
              <a:extLst>
                <a:ext uri="{FF2B5EF4-FFF2-40B4-BE49-F238E27FC236}">
                  <a16:creationId xmlns:a16="http://schemas.microsoft.com/office/drawing/2014/main" id="{601621F7-52A1-37EF-EA33-2E7D28206FF4}"/>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dr:sp macro="" textlink="">
          <xdr:nvSpPr>
            <xdr:cNvPr id="0" name=""/>
            <xdr:cNvSpPr>
              <a:spLocks noTextEdit="1"/>
            </xdr:cNvSpPr>
          </xdr:nvSpPr>
          <xdr:spPr>
            <a:xfrm>
              <a:off x="0" y="982981"/>
              <a:ext cx="119634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434340</xdr:colOff>
      <xdr:row>6</xdr:row>
      <xdr:rowOff>45720</xdr:rowOff>
    </xdr:from>
    <xdr:to>
      <xdr:col>9</xdr:col>
      <xdr:colOff>617220</xdr:colOff>
      <xdr:row>21</xdr:row>
      <xdr:rowOff>45720</xdr:rowOff>
    </xdr:to>
    <xdr:graphicFrame macro="">
      <xdr:nvGraphicFramePr>
        <xdr:cNvPr id="2" name="Chart 1">
          <a:extLst>
            <a:ext uri="{FF2B5EF4-FFF2-40B4-BE49-F238E27FC236}">
              <a16:creationId xmlns:a16="http://schemas.microsoft.com/office/drawing/2014/main" id="{6EB4A9B0-2DB2-2C6C-F503-D5245FB5D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22860</xdr:colOff>
      <xdr:row>5</xdr:row>
      <xdr:rowOff>144780</xdr:rowOff>
    </xdr:from>
    <xdr:to>
      <xdr:col>12</xdr:col>
      <xdr:colOff>388620</xdr:colOff>
      <xdr:row>19</xdr:row>
      <xdr:rowOff>51435</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26785B0F-CF64-3D9F-E7DC-48D78B8E026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840980" y="1059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6</xdr:row>
      <xdr:rowOff>45720</xdr:rowOff>
    </xdr:from>
    <xdr:to>
      <xdr:col>11</xdr:col>
      <xdr:colOff>556260</xdr:colOff>
      <xdr:row>21</xdr:row>
      <xdr:rowOff>45720</xdr:rowOff>
    </xdr:to>
    <xdr:graphicFrame macro="">
      <xdr:nvGraphicFramePr>
        <xdr:cNvPr id="2" name="Chart 1">
          <a:extLst>
            <a:ext uri="{FF2B5EF4-FFF2-40B4-BE49-F238E27FC236}">
              <a16:creationId xmlns:a16="http://schemas.microsoft.com/office/drawing/2014/main" id="{2A3D494B-AC7F-8B54-C1AE-BCCF9AE28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0</xdr:row>
      <xdr:rowOff>152400</xdr:rowOff>
    </xdr:from>
    <xdr:to>
      <xdr:col>15</xdr:col>
      <xdr:colOff>0</xdr:colOff>
      <xdr:row>14</xdr:row>
      <xdr:rowOff>59055</xdr:rowOff>
    </xdr:to>
    <mc:AlternateContent xmlns:mc="http://schemas.openxmlformats.org/markup-compatibility/2006">
      <mc:Choice xmlns:a14="http://schemas.microsoft.com/office/drawing/2010/main" Requires="a14">
        <xdr:graphicFrame macro="">
          <xdr:nvGraphicFramePr>
            <xdr:cNvPr id="3" name="Date">
              <a:extLst>
                <a:ext uri="{FF2B5EF4-FFF2-40B4-BE49-F238E27FC236}">
                  <a16:creationId xmlns:a16="http://schemas.microsoft.com/office/drawing/2014/main" id="{62037D66-9B76-F262-7AE0-319649CFCE0C}"/>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7757160" y="15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327660</xdr:colOff>
      <xdr:row>1</xdr:row>
      <xdr:rowOff>22860</xdr:rowOff>
    </xdr:from>
    <xdr:to>
      <xdr:col>18</xdr:col>
      <xdr:colOff>327660</xdr:colOff>
      <xdr:row>14</xdr:row>
      <xdr:rowOff>112395</xdr:rowOff>
    </xdr:to>
    <mc:AlternateContent xmlns:mc="http://schemas.openxmlformats.org/markup-compatibility/2006">
      <mc:Choice xmlns:a14="http://schemas.microsoft.com/office/drawing/2010/main" Requires="a14">
        <xdr:graphicFrame macro="">
          <xdr:nvGraphicFramePr>
            <xdr:cNvPr id="4" name="Sales">
              <a:extLst>
                <a:ext uri="{FF2B5EF4-FFF2-40B4-BE49-F238E27FC236}">
                  <a16:creationId xmlns:a16="http://schemas.microsoft.com/office/drawing/2014/main" id="{2F84EF36-6E16-B1FD-37E4-EB7A97D8F7EB}"/>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9913620" y="205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xdr:colOff>
      <xdr:row>6</xdr:row>
      <xdr:rowOff>45720</xdr:rowOff>
    </xdr:from>
    <xdr:to>
      <xdr:col>11</xdr:col>
      <xdr:colOff>335280</xdr:colOff>
      <xdr:row>21</xdr:row>
      <xdr:rowOff>45720</xdr:rowOff>
    </xdr:to>
    <xdr:graphicFrame macro="">
      <xdr:nvGraphicFramePr>
        <xdr:cNvPr id="2" name="Chart 1">
          <a:extLst>
            <a:ext uri="{FF2B5EF4-FFF2-40B4-BE49-F238E27FC236}">
              <a16:creationId xmlns:a16="http://schemas.microsoft.com/office/drawing/2014/main" id="{F078295B-D9E4-A7C6-E1F9-8EE44E851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487680</xdr:colOff>
      <xdr:row>0</xdr:row>
      <xdr:rowOff>91440</xdr:rowOff>
    </xdr:from>
    <xdr:to>
      <xdr:col>14</xdr:col>
      <xdr:colOff>487680</xdr:colOff>
      <xdr:row>13</xdr:row>
      <xdr:rowOff>180975</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A27CE420-EE78-EE8D-D30B-2751E14E8EE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856220" y="91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175260</xdr:colOff>
      <xdr:row>0</xdr:row>
      <xdr:rowOff>129540</xdr:rowOff>
    </xdr:from>
    <xdr:to>
      <xdr:col>18</xdr:col>
      <xdr:colOff>175260</xdr:colOff>
      <xdr:row>14</xdr:row>
      <xdr:rowOff>36195</xdr:rowOff>
    </xdr:to>
    <mc:AlternateContent xmlns:mc="http://schemas.openxmlformats.org/markup-compatibility/2006">
      <mc:Choice xmlns:a14="http://schemas.microsoft.com/office/drawing/2010/main" Requires="a14">
        <xdr:graphicFrame macro="">
          <xdr:nvGraphicFramePr>
            <xdr:cNvPr id="4" name="Discount">
              <a:extLst>
                <a:ext uri="{FF2B5EF4-FFF2-40B4-BE49-F238E27FC236}">
                  <a16:creationId xmlns:a16="http://schemas.microsoft.com/office/drawing/2014/main" id="{B70285D2-8BE4-7653-D319-FA9F6D6B40D5}"/>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dr:sp macro="" textlink="">
          <xdr:nvSpPr>
            <xdr:cNvPr id="0" name=""/>
            <xdr:cNvSpPr>
              <a:spLocks noTextEdit="1"/>
            </xdr:cNvSpPr>
          </xdr:nvSpPr>
          <xdr:spPr>
            <a:xfrm>
              <a:off x="9982200" y="129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121920</xdr:colOff>
      <xdr:row>3</xdr:row>
      <xdr:rowOff>83820</xdr:rowOff>
    </xdr:from>
    <xdr:to>
      <xdr:col>9</xdr:col>
      <xdr:colOff>601980</xdr:colOff>
      <xdr:row>15</xdr:row>
      <xdr:rowOff>129540</xdr:rowOff>
    </xdr:to>
    <xdr:graphicFrame macro="">
      <xdr:nvGraphicFramePr>
        <xdr:cNvPr id="6" name="Chart 5">
          <a:extLst>
            <a:ext uri="{FF2B5EF4-FFF2-40B4-BE49-F238E27FC236}">
              <a16:creationId xmlns:a16="http://schemas.microsoft.com/office/drawing/2014/main" id="{B77A29BA-342B-408E-AEF3-D48A7FC25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198120</xdr:colOff>
      <xdr:row>8</xdr:row>
      <xdr:rowOff>175260</xdr:rowOff>
    </xdr:from>
    <xdr:to>
      <xdr:col>3</xdr:col>
      <xdr:colOff>0</xdr:colOff>
      <xdr:row>18</xdr:row>
      <xdr:rowOff>22859</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681A1797-CA3C-4CA5-A936-4E4512E1840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8120" y="1645920"/>
              <a:ext cx="1630680" cy="167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0</xdr:row>
      <xdr:rowOff>60961</xdr:rowOff>
    </xdr:from>
    <xdr:to>
      <xdr:col>2</xdr:col>
      <xdr:colOff>571500</xdr:colOff>
      <xdr:row>6</xdr:row>
      <xdr:rowOff>160021</xdr:rowOff>
    </xdr:to>
    <mc:AlternateContent xmlns:mc="http://schemas.openxmlformats.org/markup-compatibility/2006">
      <mc:Choice xmlns:a14="http://schemas.microsoft.com/office/drawing/2010/main" Requires="a14">
        <xdr:graphicFrame macro="">
          <xdr:nvGraphicFramePr>
            <xdr:cNvPr id="9" name="Category 4">
              <a:extLst>
                <a:ext uri="{FF2B5EF4-FFF2-40B4-BE49-F238E27FC236}">
                  <a16:creationId xmlns:a16="http://schemas.microsoft.com/office/drawing/2014/main" id="{515BB968-3AAD-4A7E-A738-699886EF00EF}"/>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144780" y="60961"/>
              <a:ext cx="164592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99060</xdr:colOff>
      <xdr:row>3</xdr:row>
      <xdr:rowOff>91440</xdr:rowOff>
    </xdr:from>
    <xdr:to>
      <xdr:col>17</xdr:col>
      <xdr:colOff>434340</xdr:colOff>
      <xdr:row>15</xdr:row>
      <xdr:rowOff>121920</xdr:rowOff>
    </xdr:to>
    <xdr:graphicFrame macro="">
      <xdr:nvGraphicFramePr>
        <xdr:cNvPr id="11" name="Chart 10">
          <a:extLst>
            <a:ext uri="{FF2B5EF4-FFF2-40B4-BE49-F238E27FC236}">
              <a16:creationId xmlns:a16="http://schemas.microsoft.com/office/drawing/2014/main" id="{7E234D87-227B-4EF7-8E2C-43FE3781D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68580</xdr:colOff>
      <xdr:row>19</xdr:row>
      <xdr:rowOff>22861</xdr:rowOff>
    </xdr:from>
    <xdr:to>
      <xdr:col>20</xdr:col>
      <xdr:colOff>411480</xdr:colOff>
      <xdr:row>26</xdr:row>
      <xdr:rowOff>83821</xdr:rowOff>
    </xdr:to>
    <mc:AlternateContent xmlns:mc="http://schemas.openxmlformats.org/markup-compatibility/2006">
      <mc:Choice xmlns:a14="http://schemas.microsoft.com/office/drawing/2010/main" Requires="a14">
        <xdr:graphicFrame macro="">
          <xdr:nvGraphicFramePr>
            <xdr:cNvPr id="12" name="Product 1">
              <a:extLst>
                <a:ext uri="{FF2B5EF4-FFF2-40B4-BE49-F238E27FC236}">
                  <a16:creationId xmlns:a16="http://schemas.microsoft.com/office/drawing/2014/main" id="{CF3B74F2-9FD6-4126-A9BB-6CF31D3FBC0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041380" y="3505201"/>
              <a:ext cx="156210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129540</xdr:colOff>
      <xdr:row>16</xdr:row>
      <xdr:rowOff>60960</xdr:rowOff>
    </xdr:from>
    <xdr:to>
      <xdr:col>10</xdr:col>
      <xdr:colOff>15240</xdr:colOff>
      <xdr:row>29</xdr:row>
      <xdr:rowOff>167640</xdr:rowOff>
    </xdr:to>
    <xdr:graphicFrame macro="">
      <xdr:nvGraphicFramePr>
        <xdr:cNvPr id="13" name="Chart 12">
          <a:extLst>
            <a:ext uri="{FF2B5EF4-FFF2-40B4-BE49-F238E27FC236}">
              <a16:creationId xmlns:a16="http://schemas.microsoft.com/office/drawing/2014/main" id="{FA091B65-2D18-413C-A6C2-0E3FCFE5B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0</xdr:colOff>
      <xdr:row>0</xdr:row>
      <xdr:rowOff>0</xdr:rowOff>
    </xdr:from>
    <xdr:to>
      <xdr:col>20</xdr:col>
      <xdr:colOff>358140</xdr:colOff>
      <xdr:row>6</xdr:row>
      <xdr:rowOff>160020</xdr:rowOff>
    </xdr:to>
    <mc:AlternateContent xmlns:mc="http://schemas.openxmlformats.org/markup-compatibility/2006">
      <mc:Choice xmlns:a14="http://schemas.microsoft.com/office/drawing/2010/main" Requires="a14">
        <xdr:graphicFrame macro="">
          <xdr:nvGraphicFramePr>
            <xdr:cNvPr id="14" name="Date 1">
              <a:extLst>
                <a:ext uri="{FF2B5EF4-FFF2-40B4-BE49-F238E27FC236}">
                  <a16:creationId xmlns:a16="http://schemas.microsoft.com/office/drawing/2014/main" id="{2A722420-73FB-42CB-910B-B1BC36423D6F}"/>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0972800" y="0"/>
              <a:ext cx="157734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167640</xdr:colOff>
      <xdr:row>16</xdr:row>
      <xdr:rowOff>68580</xdr:rowOff>
    </xdr:from>
    <xdr:to>
      <xdr:col>17</xdr:col>
      <xdr:colOff>510540</xdr:colOff>
      <xdr:row>30</xdr:row>
      <xdr:rowOff>0</xdr:rowOff>
    </xdr:to>
    <xdr:graphicFrame macro="">
      <xdr:nvGraphicFramePr>
        <xdr:cNvPr id="16" name="Chart 15">
          <a:extLst>
            <a:ext uri="{FF2B5EF4-FFF2-40B4-BE49-F238E27FC236}">
              <a16:creationId xmlns:a16="http://schemas.microsoft.com/office/drawing/2014/main" id="{37BA4A6A-8A8C-4475-88F1-1F6B47690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228600</xdr:colOff>
      <xdr:row>19</xdr:row>
      <xdr:rowOff>167641</xdr:rowOff>
    </xdr:from>
    <xdr:to>
      <xdr:col>3</xdr:col>
      <xdr:colOff>22860</xdr:colOff>
      <xdr:row>26</xdr:row>
      <xdr:rowOff>76201</xdr:rowOff>
    </xdr:to>
    <mc:AlternateContent xmlns:mc="http://schemas.openxmlformats.org/markup-compatibility/2006">
      <mc:Choice xmlns:a14="http://schemas.microsoft.com/office/drawing/2010/main" Requires="a14">
        <xdr:graphicFrame macro="">
          <xdr:nvGraphicFramePr>
            <xdr:cNvPr id="17" name="Segment 1">
              <a:extLst>
                <a:ext uri="{FF2B5EF4-FFF2-40B4-BE49-F238E27FC236}">
                  <a16:creationId xmlns:a16="http://schemas.microsoft.com/office/drawing/2014/main" id="{75413753-07D0-4719-836A-1C17873739C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28600" y="3649981"/>
              <a:ext cx="162306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22860</xdr:colOff>
      <xdr:row>9</xdr:row>
      <xdr:rowOff>60960</xdr:rowOff>
    </xdr:from>
    <xdr:to>
      <xdr:col>20</xdr:col>
      <xdr:colOff>388620</xdr:colOff>
      <xdr:row>16</xdr:row>
      <xdr:rowOff>114299</xdr:rowOff>
    </xdr:to>
    <mc:AlternateContent xmlns:mc="http://schemas.openxmlformats.org/markup-compatibility/2006">
      <mc:Choice xmlns:a14="http://schemas.microsoft.com/office/drawing/2010/main" Requires="a14">
        <xdr:graphicFrame macro="">
          <xdr:nvGraphicFramePr>
            <xdr:cNvPr id="18" name="Discount 1">
              <a:extLst>
                <a:ext uri="{FF2B5EF4-FFF2-40B4-BE49-F238E27FC236}">
                  <a16:creationId xmlns:a16="http://schemas.microsoft.com/office/drawing/2014/main" id="{C5F66B9E-F0B6-4E84-B86E-8FF4DDE7C702}"/>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dr:sp macro="" textlink="">
          <xdr:nvSpPr>
            <xdr:cNvPr id="0" name=""/>
            <xdr:cNvSpPr>
              <a:spLocks noTextEdit="1"/>
            </xdr:cNvSpPr>
          </xdr:nvSpPr>
          <xdr:spPr>
            <a:xfrm>
              <a:off x="10995660" y="1714500"/>
              <a:ext cx="158496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KANTA NANDI" refreshedDate="46104.531848726852" createdVersion="8" refreshedVersion="8" minRefreshableVersion="3" recordCount="400" xr:uid="{34E4C150-50AF-429E-8D72-CA23E2891F10}">
  <cacheSource type="worksheet">
    <worksheetSource ref="A1:L401" sheet="01_Main_Dataset"/>
  </cacheSource>
  <cacheFields count="14">
    <cacheField name="Order_ID" numFmtId="0">
      <sharedItems count="400">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haredItems>
    </cacheField>
    <cacheField name="Date" numFmtId="164">
      <sharedItems containsSemiMixedTypes="0" containsNonDate="0" containsDate="1" containsString="0" minDate="2025-01-01T00:00:00" maxDate="2025-12-29T00:00:00" count="233">
        <d v="2025-10-24T00:00:00"/>
        <d v="2025-09-21T00:00:00"/>
        <d v="2025-01-18T00:00:00"/>
        <d v="2025-01-01T00:00:00"/>
        <d v="2025-03-06T00:00:00"/>
        <d v="2025-11-14T00:00:00"/>
        <d v="2025-02-04T00:00:00"/>
        <d v="2025-02-20T00:00:00"/>
        <d v="2025-12-14T00:00:00"/>
        <d v="2025-05-01T00:00:00"/>
        <d v="2025-11-15T00:00:00"/>
        <d v="2025-09-28T00:00:00"/>
        <d v="2025-09-27T00:00:00"/>
        <d v="2025-06-26T00:00:00"/>
        <d v="2025-11-25T00:00:00"/>
        <d v="2025-08-15T00:00:00"/>
        <d v="2025-04-24T00:00:00"/>
        <d v="2025-02-28T00:00:00"/>
        <d v="2025-11-28T00:00:00"/>
        <d v="2025-08-09T00:00:00"/>
        <d v="2025-12-08T00:00:00"/>
        <d v="2025-07-13T00:00:00"/>
        <d v="2025-03-05T00:00:00"/>
        <d v="2025-01-19T00:00:00"/>
        <d v="2025-11-18T00:00:00"/>
        <d v="2025-10-19T00:00:00"/>
        <d v="2025-12-24T00:00:00"/>
        <d v="2025-02-10T00:00:00"/>
        <d v="2025-07-20T00:00:00"/>
        <d v="2025-05-15T00:00:00"/>
        <d v="2025-03-03T00:00:00"/>
        <d v="2025-08-12T00:00:00"/>
        <d v="2025-07-11T00:00:00"/>
        <d v="2025-10-21T00:00:00"/>
        <d v="2025-10-11T00:00:00"/>
        <d v="2025-01-27T00:00:00"/>
        <d v="2025-12-22T00:00:00"/>
        <d v="2025-08-07T00:00:00"/>
        <d v="2025-09-23T00:00:00"/>
        <d v="2025-02-03T00:00:00"/>
        <d v="2025-10-17T00:00:00"/>
        <d v="2025-03-01T00:00:00"/>
        <d v="2025-01-20T00:00:00"/>
        <d v="2025-04-22T00:00:00"/>
        <d v="2025-02-21T00:00:00"/>
        <d v="2025-03-02T00:00:00"/>
        <d v="2025-03-17T00:00:00"/>
        <d v="2025-03-18T00:00:00"/>
        <d v="2025-05-18T00:00:00"/>
        <d v="2025-03-10T00:00:00"/>
        <d v="2025-10-03T00:00:00"/>
        <d v="2025-12-03T00:00:00"/>
        <d v="2025-03-19T00:00:00"/>
        <d v="2025-10-08T00:00:00"/>
        <d v="2025-06-07T00:00:00"/>
        <d v="2025-09-04T00:00:00"/>
        <d v="2025-05-08T00:00:00"/>
        <d v="2025-06-02T00:00:00"/>
        <d v="2025-03-22T00:00:00"/>
        <d v="2025-08-27T00:00:00"/>
        <d v="2025-05-24T00:00:00"/>
        <d v="2025-04-17T00:00:00"/>
        <d v="2025-10-06T00:00:00"/>
        <d v="2025-08-01T00:00:00"/>
        <d v="2025-04-19T00:00:00"/>
        <d v="2025-01-16T00:00:00"/>
        <d v="2025-12-20T00:00:00"/>
        <d v="2025-03-21T00:00:00"/>
        <d v="2025-06-14T00:00:00"/>
        <d v="2025-07-03T00:00:00"/>
        <d v="2025-11-06T00:00:00"/>
        <d v="2025-12-11T00:00:00"/>
        <d v="2025-10-09T00:00:00"/>
        <d v="2025-08-19T00:00:00"/>
        <d v="2025-03-27T00:00:00"/>
        <d v="2025-02-08T00:00:00"/>
        <d v="2025-09-19T00:00:00"/>
        <d v="2025-03-25T00:00:00"/>
        <d v="2025-06-22T00:00:00"/>
        <d v="2025-12-12T00:00:00"/>
        <d v="2025-03-04T00:00:00"/>
        <d v="2025-07-26T00:00:00"/>
        <d v="2025-06-01T00:00:00"/>
        <d v="2025-07-24T00:00:00"/>
        <d v="2025-12-15T00:00:00"/>
        <d v="2025-12-28T00:00:00"/>
        <d v="2025-04-16T00:00:00"/>
        <d v="2025-05-05T00:00:00"/>
        <d v="2025-05-22T00:00:00"/>
        <d v="2025-01-26T00:00:00"/>
        <d v="2025-10-20T00:00:00"/>
        <d v="2025-03-13T00:00:00"/>
        <d v="2025-09-05T00:00:00"/>
        <d v="2025-07-23T00:00:00"/>
        <d v="2025-06-25T00:00:00"/>
        <d v="2025-06-18T00:00:00"/>
        <d v="2025-05-21T00:00:00"/>
        <d v="2025-07-18T00:00:00"/>
        <d v="2025-01-23T00:00:00"/>
        <d v="2025-06-06T00:00:00"/>
        <d v="2025-04-21T00:00:00"/>
        <d v="2025-02-27T00:00:00"/>
        <d v="2025-11-07T00:00:00"/>
        <d v="2025-09-12T00:00:00"/>
        <d v="2025-06-13T00:00:00"/>
        <d v="2025-12-26T00:00:00"/>
        <d v="2025-11-03T00:00:00"/>
        <d v="2025-04-09T00:00:00"/>
        <d v="2025-02-14T00:00:00"/>
        <d v="2025-10-22T00:00:00"/>
        <d v="2025-02-15T00:00:00"/>
        <d v="2025-05-19T00:00:00"/>
        <d v="2025-03-08T00:00:00"/>
        <d v="2025-10-10T00:00:00"/>
        <d v="2025-02-09T00:00:00"/>
        <d v="2025-12-09T00:00:00"/>
        <d v="2025-07-25T00:00:00"/>
        <d v="2025-01-11T00:00:00"/>
        <d v="2025-02-22T00:00:00"/>
        <d v="2025-01-14T00:00:00"/>
        <d v="2025-05-07T00:00:00"/>
        <d v="2025-04-27T00:00:00"/>
        <d v="2025-08-20T00:00:00"/>
        <d v="2025-08-21T00:00:00"/>
        <d v="2025-11-04T00:00:00"/>
        <d v="2025-04-02T00:00:00"/>
        <d v="2025-02-25T00:00:00"/>
        <d v="2025-01-12T00:00:00"/>
        <d v="2025-08-25T00:00:00"/>
        <d v="2025-03-28T00:00:00"/>
        <d v="2025-03-26T00:00:00"/>
        <d v="2025-10-23T00:00:00"/>
        <d v="2025-08-22T00:00:00"/>
        <d v="2025-07-14T00:00:00"/>
        <d v="2025-01-25T00:00:00"/>
        <d v="2025-03-09T00:00:00"/>
        <d v="2025-12-25T00:00:00"/>
        <d v="2025-07-28T00:00:00"/>
        <d v="2025-05-28T00:00:00"/>
        <d v="2025-07-09T00:00:00"/>
        <d v="2025-11-11T00:00:00"/>
        <d v="2025-01-24T00:00:00"/>
        <d v="2025-12-16T00:00:00"/>
        <d v="2025-11-17T00:00:00"/>
        <d v="2025-05-23T00:00:00"/>
        <d v="2025-02-13T00:00:00"/>
        <d v="2025-11-08T00:00:00"/>
        <d v="2025-07-12T00:00:00"/>
        <d v="2025-08-26T00:00:00"/>
        <d v="2025-07-06T00:00:00"/>
        <d v="2025-04-06T00:00:00"/>
        <d v="2025-08-17T00:00:00"/>
        <d v="2025-09-16T00:00:00"/>
        <d v="2025-04-15T00:00:00"/>
        <d v="2025-08-16T00:00:00"/>
        <d v="2025-07-01T00:00:00"/>
        <d v="2025-09-20T00:00:00"/>
        <d v="2025-10-04T00:00:00"/>
        <d v="2025-08-08T00:00:00"/>
        <d v="2025-11-21T00:00:00"/>
        <d v="2025-03-14T00:00:00"/>
        <d v="2025-08-04T00:00:00"/>
        <d v="2025-04-12T00:00:00"/>
        <d v="2025-10-25T00:00:00"/>
        <d v="2025-09-01T00:00:00"/>
        <d v="2025-07-10T00:00:00"/>
        <d v="2025-07-17T00:00:00"/>
        <d v="2025-01-15T00:00:00"/>
        <d v="2025-07-15T00:00:00"/>
        <d v="2025-12-13T00:00:00"/>
        <d v="2025-05-13T00:00:00"/>
        <d v="2025-05-04T00:00:00"/>
        <d v="2025-05-06T00:00:00"/>
        <d v="2025-08-03T00:00:00"/>
        <d v="2025-08-13T00:00:00"/>
        <d v="2025-10-26T00:00:00"/>
        <d v="2025-07-07T00:00:00"/>
        <d v="2025-09-03T00:00:00"/>
        <d v="2025-04-23T00:00:00"/>
        <d v="2025-02-02T00:00:00"/>
        <d v="2025-11-23T00:00:00"/>
        <d v="2025-11-10T00:00:00"/>
        <d v="2025-06-21T00:00:00"/>
        <d v="2025-06-27T00:00:00"/>
        <d v="2025-01-05T00:00:00"/>
        <d v="2025-05-03T00:00:00"/>
        <d v="2025-06-23T00:00:00"/>
        <d v="2025-12-19T00:00:00"/>
        <d v="2025-04-11T00:00:00"/>
        <d v="2025-05-17T00:00:00"/>
        <d v="2025-03-12T00:00:00"/>
        <d v="2025-06-10T00:00:00"/>
        <d v="2025-02-16T00:00:00"/>
        <d v="2025-12-02T00:00:00"/>
        <d v="2025-06-20T00:00:00"/>
        <d v="2025-06-24T00:00:00"/>
        <d v="2025-03-20T00:00:00"/>
        <d v="2025-12-27T00:00:00"/>
        <d v="2025-03-24T00:00:00"/>
        <d v="2025-05-11T00:00:00"/>
        <d v="2025-07-22T00:00:00"/>
        <d v="2025-01-06T00:00:00"/>
        <d v="2025-09-24T00:00:00"/>
        <d v="2025-02-26T00:00:00"/>
        <d v="2025-04-18T00:00:00"/>
        <d v="2025-08-28T00:00:00"/>
        <d v="2025-02-05T00:00:00"/>
        <d v="2025-05-12T00:00:00"/>
        <d v="2025-08-11T00:00:00"/>
        <d v="2025-05-26T00:00:00"/>
        <d v="2025-06-04T00:00:00"/>
        <d v="2025-02-23T00:00:00"/>
        <d v="2025-08-14T00:00:00"/>
        <d v="2025-11-05T00:00:00"/>
        <d v="2025-01-17T00:00:00"/>
        <d v="2025-11-20T00:00:00"/>
        <d v="2025-11-19T00:00:00"/>
        <d v="2025-09-11T00:00:00"/>
        <d v="2025-01-08T00:00:00"/>
        <d v="2025-05-25T00:00:00"/>
        <d v="2025-04-20T00:00:00"/>
        <d v="2025-01-10T00:00:00"/>
        <d v="2025-10-13T00:00:00"/>
        <d v="2025-09-18T00:00:00"/>
        <d v="2025-09-26T00:00:00"/>
        <d v="2025-07-16T00:00:00"/>
        <d v="2025-11-24T00:00:00"/>
        <d v="2025-10-01T00:00:00"/>
        <d v="2025-08-05T00:00:00"/>
        <d v="2025-02-06T00:00:00"/>
        <d v="2025-12-10T00:00:00"/>
        <d v="2025-01-07T00:00:00"/>
        <d v="2025-03-11T00:00:00"/>
      </sharedItems>
      <fieldGroup par="13"/>
    </cacheField>
    <cacheField name="Region" numFmtId="0">
      <sharedItems count="4">
        <s v="West"/>
        <s v="South"/>
        <s v="East"/>
        <s v="North"/>
      </sharedItems>
    </cacheField>
    <cacheField name="Category" numFmtId="0">
      <sharedItems count="3">
        <s v="Technology"/>
        <s v="Office Supplies"/>
        <s v="Furniture"/>
      </sharedItems>
    </cacheField>
    <cacheField name="Sub_Category" numFmtId="0">
      <sharedItems count="1">
        <s v="SubCat"/>
      </sharedItems>
    </cacheField>
    <cacheField name="Product" numFmtId="0">
      <sharedItems count="400">
        <s v="Product2"/>
        <s v="Product3"/>
        <s v="Product4"/>
        <s v="Product5"/>
        <s v="Product6"/>
        <s v="Product7"/>
        <s v="Product8"/>
        <s v="Product9"/>
        <s v="Product10"/>
        <s v="Product11"/>
        <s v="Product12"/>
        <s v="Product13"/>
        <s v="Product14"/>
        <s v="Product15"/>
        <s v="Product16"/>
        <s v="Product17"/>
        <s v="Product18"/>
        <s v="Product19"/>
        <s v="Product20"/>
        <s v="Product21"/>
        <s v="Product22"/>
        <s v="Product23"/>
        <s v="Product24"/>
        <s v="Product25"/>
        <s v="Product26"/>
        <s v="Product27"/>
        <s v="Product28"/>
        <s v="Product29"/>
        <s v="Product30"/>
        <s v="Product31"/>
        <s v="Product32"/>
        <s v="Product33"/>
        <s v="Product34"/>
        <s v="Product35"/>
        <s v="Product36"/>
        <s v="Product37"/>
        <s v="Product38"/>
        <s v="Product39"/>
        <s v="Product40"/>
        <s v="Product41"/>
        <s v="Product42"/>
        <s v="Product43"/>
        <s v="Product44"/>
        <s v="Product45"/>
        <s v="Product46"/>
        <s v="Product47"/>
        <s v="Product48"/>
        <s v="Product49"/>
        <s v="Product50"/>
        <s v="Product51"/>
        <s v="Product52"/>
        <s v="Product53"/>
        <s v="Product54"/>
        <s v="Product55"/>
        <s v="Product56"/>
        <s v="Product57"/>
        <s v="Product58"/>
        <s v="Product59"/>
        <s v="Product60"/>
        <s v="Product61"/>
        <s v="Product62"/>
        <s v="Product63"/>
        <s v="Product64"/>
        <s v="Product65"/>
        <s v="Product66"/>
        <s v="Product67"/>
        <s v="Product68"/>
        <s v="Product69"/>
        <s v="Product70"/>
        <s v="Product71"/>
        <s v="Product72"/>
        <s v="Product73"/>
        <s v="Product74"/>
        <s v="Product75"/>
        <s v="Product76"/>
        <s v="Product77"/>
        <s v="Product78"/>
        <s v="Product79"/>
        <s v="Product80"/>
        <s v="Product81"/>
        <s v="Product82"/>
        <s v="Product83"/>
        <s v="Product84"/>
        <s v="Product85"/>
        <s v="Product86"/>
        <s v="Product87"/>
        <s v="Product88"/>
        <s v="Product89"/>
        <s v="Product90"/>
        <s v="Product91"/>
        <s v="Product92"/>
        <s v="Product93"/>
        <s v="Product94"/>
        <s v="Product95"/>
        <s v="Product96"/>
        <s v="Product97"/>
        <s v="Product98"/>
        <s v="Product99"/>
        <s v="Product100"/>
        <s v="Product101"/>
        <s v="Product102"/>
        <s v="Product103"/>
        <s v="Product104"/>
        <s v="Product105"/>
        <s v="Product106"/>
        <s v="Product107"/>
        <s v="Product108"/>
        <s v="Product109"/>
        <s v="Product110"/>
        <s v="Product111"/>
        <s v="Product112"/>
        <s v="Product113"/>
        <s v="Product114"/>
        <s v="Product115"/>
        <s v="Product116"/>
        <s v="Product117"/>
        <s v="Product118"/>
        <s v="Product119"/>
        <s v="Product120"/>
        <s v="Product121"/>
        <s v="Product122"/>
        <s v="Product123"/>
        <s v="Product124"/>
        <s v="Product125"/>
        <s v="Product126"/>
        <s v="Product127"/>
        <s v="Product128"/>
        <s v="Product129"/>
        <s v="Product130"/>
        <s v="Product131"/>
        <s v="Product132"/>
        <s v="Product133"/>
        <s v="Product134"/>
        <s v="Product135"/>
        <s v="Product136"/>
        <s v="Product137"/>
        <s v="Product138"/>
        <s v="Product139"/>
        <s v="Product140"/>
        <s v="Product141"/>
        <s v="Product142"/>
        <s v="Product143"/>
        <s v="Product144"/>
        <s v="Product145"/>
        <s v="Product146"/>
        <s v="Product147"/>
        <s v="Product148"/>
        <s v="Product149"/>
        <s v="Product150"/>
        <s v="Product151"/>
        <s v="Product152"/>
        <s v="Product153"/>
        <s v="Product154"/>
        <s v="Product155"/>
        <s v="Product156"/>
        <s v="Product157"/>
        <s v="Product158"/>
        <s v="Product159"/>
        <s v="Product160"/>
        <s v="Product161"/>
        <s v="Product162"/>
        <s v="Product163"/>
        <s v="Product164"/>
        <s v="Product165"/>
        <s v="Product166"/>
        <s v="Product167"/>
        <s v="Product168"/>
        <s v="Product169"/>
        <s v="Product170"/>
        <s v="Product171"/>
        <s v="Product172"/>
        <s v="Product173"/>
        <s v="Product174"/>
        <s v="Product175"/>
        <s v="Product176"/>
        <s v="Product177"/>
        <s v="Product178"/>
        <s v="Product179"/>
        <s v="Product180"/>
        <s v="Product181"/>
        <s v="Product182"/>
        <s v="Product183"/>
        <s v="Product184"/>
        <s v="Product185"/>
        <s v="Product186"/>
        <s v="Product187"/>
        <s v="Product188"/>
        <s v="Product189"/>
        <s v="Product190"/>
        <s v="Product191"/>
        <s v="Product192"/>
        <s v="Product193"/>
        <s v="Product194"/>
        <s v="Product195"/>
        <s v="Product196"/>
        <s v="Product197"/>
        <s v="Product198"/>
        <s v="Product199"/>
        <s v="Product200"/>
        <s v="Product201"/>
        <s v="Product202"/>
        <s v="Product203"/>
        <s v="Product204"/>
        <s v="Product205"/>
        <s v="Product206"/>
        <s v="Product207"/>
        <s v="Product208"/>
        <s v="Product209"/>
        <s v="Product210"/>
        <s v="Product211"/>
        <s v="Product212"/>
        <s v="Product213"/>
        <s v="Product214"/>
        <s v="Product215"/>
        <s v="Product216"/>
        <s v="Product217"/>
        <s v="Product218"/>
        <s v="Product219"/>
        <s v="Product220"/>
        <s v="Product221"/>
        <s v="Product222"/>
        <s v="Product223"/>
        <s v="Product224"/>
        <s v="Product225"/>
        <s v="Product226"/>
        <s v="Product227"/>
        <s v="Product228"/>
        <s v="Product229"/>
        <s v="Product230"/>
        <s v="Product231"/>
        <s v="Product232"/>
        <s v="Product233"/>
        <s v="Product234"/>
        <s v="Product235"/>
        <s v="Product236"/>
        <s v="Product237"/>
        <s v="Product238"/>
        <s v="Product239"/>
        <s v="Product240"/>
        <s v="Product241"/>
        <s v="Product242"/>
        <s v="Product243"/>
        <s v="Product244"/>
        <s v="Product245"/>
        <s v="Product246"/>
        <s v="Product247"/>
        <s v="Product248"/>
        <s v="Product249"/>
        <s v="Product250"/>
        <s v="Product251"/>
        <s v="Product252"/>
        <s v="Product253"/>
        <s v="Product254"/>
        <s v="Product255"/>
        <s v="Product256"/>
        <s v="Product257"/>
        <s v="Product258"/>
        <s v="Product259"/>
        <s v="Product260"/>
        <s v="Product261"/>
        <s v="Product262"/>
        <s v="Product263"/>
        <s v="Product264"/>
        <s v="Product265"/>
        <s v="Product266"/>
        <s v="Product267"/>
        <s v="Product268"/>
        <s v="Product269"/>
        <s v="Product270"/>
        <s v="Product271"/>
        <s v="Product272"/>
        <s v="Product273"/>
        <s v="Product274"/>
        <s v="Product275"/>
        <s v="Product276"/>
        <s v="Product277"/>
        <s v="Product278"/>
        <s v="Product279"/>
        <s v="Product280"/>
        <s v="Product281"/>
        <s v="Product282"/>
        <s v="Product283"/>
        <s v="Product284"/>
        <s v="Product285"/>
        <s v="Product286"/>
        <s v="Product287"/>
        <s v="Product288"/>
        <s v="Product289"/>
        <s v="Product290"/>
        <s v="Product291"/>
        <s v="Product292"/>
        <s v="Product293"/>
        <s v="Product294"/>
        <s v="Product295"/>
        <s v="Product296"/>
        <s v="Product297"/>
        <s v="Product298"/>
        <s v="Product299"/>
        <s v="Product300"/>
        <s v="Product301"/>
        <s v="Product302"/>
        <s v="Product303"/>
        <s v="Product304"/>
        <s v="Product305"/>
        <s v="Product306"/>
        <s v="Product307"/>
        <s v="Product308"/>
        <s v="Product309"/>
        <s v="Product310"/>
        <s v="Product311"/>
        <s v="Product312"/>
        <s v="Product313"/>
        <s v="Product314"/>
        <s v="Product315"/>
        <s v="Product316"/>
        <s v="Product317"/>
        <s v="Product318"/>
        <s v="Product319"/>
        <s v="Product320"/>
        <s v="Product321"/>
        <s v="Product322"/>
        <s v="Product323"/>
        <s v="Product324"/>
        <s v="Product325"/>
        <s v="Product326"/>
        <s v="Product327"/>
        <s v="Product328"/>
        <s v="Product329"/>
        <s v="Product330"/>
        <s v="Product331"/>
        <s v="Product332"/>
        <s v="Product333"/>
        <s v="Product334"/>
        <s v="Product335"/>
        <s v="Product336"/>
        <s v="Product337"/>
        <s v="Product338"/>
        <s v="Product339"/>
        <s v="Product340"/>
        <s v="Product341"/>
        <s v="Product342"/>
        <s v="Product343"/>
        <s v="Product344"/>
        <s v="Product345"/>
        <s v="Product346"/>
        <s v="Product347"/>
        <s v="Product348"/>
        <s v="Product349"/>
        <s v="Product350"/>
        <s v="Product351"/>
        <s v="Product352"/>
        <s v="Product353"/>
        <s v="Product354"/>
        <s v="Product355"/>
        <s v="Product356"/>
        <s v="Product357"/>
        <s v="Product358"/>
        <s v="Product359"/>
        <s v="Product360"/>
        <s v="Product361"/>
        <s v="Product362"/>
        <s v="Product363"/>
        <s v="Product364"/>
        <s v="Product365"/>
        <s v="Product366"/>
        <s v="Product367"/>
        <s v="Product368"/>
        <s v="Product369"/>
        <s v="Product370"/>
        <s v="Product371"/>
        <s v="Product372"/>
        <s v="Product373"/>
        <s v="Product374"/>
        <s v="Product375"/>
        <s v="Product376"/>
        <s v="Product377"/>
        <s v="Product378"/>
        <s v="Product379"/>
        <s v="Product380"/>
        <s v="Product381"/>
        <s v="Product382"/>
        <s v="Product383"/>
        <s v="Product384"/>
        <s v="Product385"/>
        <s v="Product386"/>
        <s v="Product387"/>
        <s v="Product388"/>
        <s v="Product389"/>
        <s v="Product390"/>
        <s v="Product391"/>
        <s v="Product392"/>
        <s v="Product393"/>
        <s v="Product394"/>
        <s v="Product395"/>
        <s v="Product396"/>
        <s v="Product397"/>
        <s v="Product398"/>
        <s v="Product399"/>
        <s v="Product400"/>
        <s v="Product401"/>
      </sharedItems>
    </cacheField>
    <cacheField name="Customer" numFmtId="0">
      <sharedItems/>
    </cacheField>
    <cacheField name="Segment" numFmtId="0">
      <sharedItems count="3">
        <s v="Consumer"/>
        <s v="Home Office"/>
        <s v="Corporate"/>
      </sharedItems>
    </cacheField>
    <cacheField name="Sales" numFmtId="0">
      <sharedItems containsSemiMixedTypes="0" containsString="0" containsNumber="1" minValue="107.22" maxValue="1994.98" count="399">
        <n v="971.62"/>
        <n v="182.55"/>
        <n v="298.11"/>
        <n v="713.06"/>
        <n v="1037.92"/>
        <n v="652.03"/>
        <n v="1260.49"/>
        <n v="1173.22"/>
        <n v="312.23"/>
        <n v="1797.94"/>
        <n v="1781.4"/>
        <n v="1205.07"/>
        <n v="913.99"/>
        <n v="738.88"/>
        <n v="750.85"/>
        <n v="1196.5"/>
        <n v="1042.19"/>
        <n v="686.09"/>
        <n v="1416.07"/>
        <n v="1144.18"/>
        <n v="252.73"/>
        <n v="1467.17"/>
        <n v="939.48"/>
        <n v="1696.84"/>
        <n v="788.51"/>
        <n v="1419.02"/>
        <n v="159.15"/>
        <n v="1300.57"/>
        <n v="491.92"/>
        <n v="1838.26"/>
        <n v="194.86"/>
        <n v="1241.1300000000001"/>
        <n v="1769.91"/>
        <n v="1881.77"/>
        <n v="1486.02"/>
        <n v="192.67"/>
        <n v="134.30000000000001"/>
        <n v="1758.53"/>
        <n v="940.78"/>
        <n v="1117.02"/>
        <n v="1329.2"/>
        <n v="527.5"/>
        <n v="728.73"/>
        <n v="1948.51"/>
        <n v="1648.64"/>
        <n v="181.6"/>
        <n v="1740.41"/>
        <n v="1011.74"/>
        <n v="1568.93"/>
        <n v="683.02"/>
        <n v="1496.75"/>
        <n v="424.82"/>
        <n v="1994.98"/>
        <n v="1970.76"/>
        <n v="896.36"/>
        <n v="413.36"/>
        <n v="1819.14"/>
        <n v="188.39"/>
        <n v="183.34"/>
        <n v="1453.99"/>
        <n v="417.59"/>
        <n v="977.64"/>
        <n v="1023.3"/>
        <n v="327.85"/>
        <n v="1893.28"/>
        <n v="1635.46"/>
        <n v="1865.98"/>
        <n v="747.25"/>
        <n v="675.05"/>
        <n v="1335.36"/>
        <n v="1746.75"/>
        <n v="1292.6500000000001"/>
        <n v="488.13"/>
        <n v="1785.41"/>
        <n v="1524.37"/>
        <n v="1723.73"/>
        <n v="304.81"/>
        <n v="918.17"/>
        <n v="1686.71"/>
        <n v="744.42"/>
        <n v="401.75"/>
        <n v="932.66"/>
        <n v="965.2"/>
        <n v="387.7"/>
        <n v="433.14"/>
        <n v="163.66999999999999"/>
        <n v="787.83"/>
        <n v="497.74"/>
        <n v="1937.62"/>
        <n v="1370.2"/>
        <n v="1014.69"/>
        <n v="809.81"/>
        <n v="933.32"/>
        <n v="900.38"/>
        <n v="1038.3399999999999"/>
        <n v="791.5"/>
        <n v="1406.07"/>
        <n v="1774.27"/>
        <n v="1298.04"/>
        <n v="1041.47"/>
        <n v="573.94000000000005"/>
        <n v="1859.37"/>
        <n v="1951.97"/>
        <n v="1521.47"/>
        <n v="158.16"/>
        <n v="1578.82"/>
        <n v="727.58"/>
        <n v="1170.1400000000001"/>
        <n v="518.80999999999995"/>
        <n v="1763.25"/>
        <n v="1424.89"/>
        <n v="1041.3800000000001"/>
        <n v="1620.77"/>
        <n v="1098.78"/>
        <n v="1445.75"/>
        <n v="1116.6099999999999"/>
        <n v="196.35"/>
        <n v="801.5"/>
        <n v="1336.37"/>
        <n v="930.28"/>
        <n v="1743.77"/>
        <n v="281.23"/>
        <n v="1903.38"/>
        <n v="1636.6"/>
        <n v="1076.49"/>
        <n v="1975.53"/>
        <n v="526.32000000000005"/>
        <n v="1410.53"/>
        <n v="984.45"/>
        <n v="1626.13"/>
        <n v="1396.79"/>
        <n v="1640.42"/>
        <n v="1565.77"/>
        <n v="1214.97"/>
        <n v="358.7"/>
        <n v="1061.21"/>
        <n v="1802.81"/>
        <n v="698.18"/>
        <n v="1296.6500000000001"/>
        <n v="217.83"/>
        <n v="1549.29"/>
        <n v="1545.09"/>
        <n v="525.23"/>
        <n v="1506.95"/>
        <n v="484.68"/>
        <n v="1370"/>
        <n v="1420.96"/>
        <n v="409.38"/>
        <n v="236.34"/>
        <n v="720.75"/>
        <n v="1612.1"/>
        <n v="1973.56"/>
        <n v="1748.34"/>
        <n v="196.91"/>
        <n v="477.01"/>
        <n v="1607.01"/>
        <n v="1239.6500000000001"/>
        <n v="772.76"/>
        <n v="706.83"/>
        <n v="1361.45"/>
        <n v="1667.01"/>
        <n v="971.54"/>
        <n v="1801.25"/>
        <n v="607.11"/>
        <n v="738.23"/>
        <n v="316.64"/>
        <n v="754.84"/>
        <n v="885.94"/>
        <n v="941.43"/>
        <n v="1704.17"/>
        <n v="383.41"/>
        <n v="1416.98"/>
        <n v="1914.54"/>
        <n v="297.25"/>
        <n v="1040.8"/>
        <n v="1531.51"/>
        <n v="1451.63"/>
        <n v="1513.83"/>
        <n v="217.44"/>
        <n v="561.39"/>
        <n v="276.75"/>
        <n v="154.88999999999999"/>
        <n v="945.07"/>
        <n v="1364.05"/>
        <n v="1881.53"/>
        <n v="217.73"/>
        <n v="476.3"/>
        <n v="1444.3"/>
        <n v="1133.18"/>
        <n v="1847.85"/>
        <n v="1865.82"/>
        <n v="748.41"/>
        <n v="534.6"/>
        <n v="548.76"/>
        <n v="542.97"/>
        <n v="1771.2"/>
        <n v="1652.21"/>
        <n v="1373.66"/>
        <n v="549.12"/>
        <n v="857.24"/>
        <n v="720.32"/>
        <n v="184"/>
        <n v="752.32"/>
        <n v="485.04"/>
        <n v="846.34"/>
        <n v="555.87"/>
        <n v="1411.29"/>
        <n v="611.26"/>
        <n v="1497.91"/>
        <n v="880.01"/>
        <n v="1090.02"/>
        <n v="1473.26"/>
        <n v="622.79999999999995"/>
        <n v="1376.32"/>
        <n v="717.99"/>
        <n v="1911.63"/>
        <n v="1972.02"/>
        <n v="1535.26"/>
        <n v="1086.69"/>
        <n v="815.66"/>
        <n v="193.75"/>
        <n v="118.96"/>
        <n v="1136.49"/>
        <n v="715.62"/>
        <n v="890.72"/>
        <n v="1977.2"/>
        <n v="1409.45"/>
        <n v="1207.28"/>
        <n v="133.5"/>
        <n v="877.08"/>
        <n v="221.27"/>
        <n v="1431.07"/>
        <n v="687.31"/>
        <n v="1148.22"/>
        <n v="1821.91"/>
        <n v="742.44"/>
        <n v="1709.85"/>
        <n v="639.70000000000005"/>
        <n v="1493.18"/>
        <n v="108.57"/>
        <n v="1191.29"/>
        <n v="905.44"/>
        <n v="718.47"/>
        <n v="700.57"/>
        <n v="1286.58"/>
        <n v="940.01"/>
        <n v="463.29"/>
        <n v="1558.76"/>
        <n v="1637.21"/>
        <n v="370.23"/>
        <n v="998.59"/>
        <n v="649.97"/>
        <n v="1719.58"/>
        <n v="1041.72"/>
        <n v="245.46"/>
        <n v="1428.86"/>
        <n v="1743.12"/>
        <n v="805.06"/>
        <n v="157.41999999999999"/>
        <n v="1729.7"/>
        <n v="754.44"/>
        <n v="947.57"/>
        <n v="119.24"/>
        <n v="1388"/>
        <n v="977.09"/>
        <n v="143.51"/>
        <n v="159.16"/>
        <n v="1103.1500000000001"/>
        <n v="1125.6500000000001"/>
        <n v="1582.69"/>
        <n v="1536.31"/>
        <n v="516.5"/>
        <n v="1027.95"/>
        <n v="1720.18"/>
        <n v="788.54"/>
        <n v="824.11"/>
        <n v="1473.99"/>
        <n v="1968.45"/>
        <n v="1389.35"/>
        <n v="1295.51"/>
        <n v="983.68"/>
        <n v="1144.33"/>
        <n v="1186.7"/>
        <n v="1109.45"/>
        <n v="1372.15"/>
        <n v="1005.32"/>
        <n v="640.55999999999995"/>
        <n v="489.75"/>
        <n v="1257.17"/>
        <n v="837.96"/>
        <n v="860.7"/>
        <n v="441.54"/>
        <n v="1813.17"/>
        <n v="576.21"/>
        <n v="1849.88"/>
        <n v="1076.32"/>
        <n v="550.77"/>
        <n v="1224.26"/>
        <n v="746.88"/>
        <n v="1987.93"/>
        <n v="1212.71"/>
        <n v="1060.56"/>
        <n v="1179.6300000000001"/>
        <n v="1364.11"/>
        <n v="1032.83"/>
        <n v="714.46"/>
        <n v="1837.03"/>
        <n v="454.82"/>
        <n v="1816.8"/>
        <n v="1160.68"/>
        <n v="1758.73"/>
        <n v="1335.75"/>
        <n v="333.18"/>
        <n v="678.44"/>
        <n v="804.87"/>
        <n v="1018.77"/>
        <n v="1472.56"/>
        <n v="1007.05"/>
        <n v="730.07"/>
        <n v="1617.36"/>
        <n v="1315.08"/>
        <n v="811.73"/>
        <n v="412.57"/>
        <n v="850.03"/>
        <n v="1926.43"/>
        <n v="1324.12"/>
        <n v="1474.1"/>
        <n v="1588.7"/>
        <n v="1509.6"/>
        <n v="827.64"/>
        <n v="1324.96"/>
        <n v="1830.95"/>
        <n v="871.91"/>
        <n v="1101.6400000000001"/>
        <n v="602.12"/>
        <n v="1278.69"/>
        <n v="750.37"/>
        <n v="242.73"/>
        <n v="1081.57"/>
        <n v="349.34"/>
        <n v="629.49"/>
        <n v="107.22"/>
        <n v="1025.18"/>
        <n v="188.36"/>
        <n v="1894.17"/>
        <n v="1390.04"/>
        <n v="570.75"/>
        <n v="1027.96"/>
        <n v="1167.3599999999999"/>
        <n v="1639.23"/>
        <n v="144.57"/>
        <n v="1397.17"/>
        <n v="307.08999999999997"/>
        <n v="1622.48"/>
        <n v="181.22"/>
        <n v="1951.69"/>
        <n v="1265.28"/>
        <n v="1572.78"/>
        <n v="526.61"/>
        <n v="401.31"/>
        <n v="499.97"/>
        <n v="865.98"/>
        <n v="614.65"/>
        <n v="1443"/>
        <n v="552.4"/>
        <n v="1644.46"/>
        <n v="1761.83"/>
        <n v="1954.83"/>
        <n v="1736.25"/>
        <n v="1733.33"/>
        <n v="1722.72"/>
        <n v="1852.07"/>
        <n v="126.92"/>
        <n v="1353.98"/>
        <n v="658.73"/>
        <n v="213.88"/>
        <n v="838.89"/>
        <n v="1879.41"/>
        <n v="1831.81"/>
        <n v="756.81"/>
        <n v="229.02"/>
        <n v="1362.44"/>
        <n v="894.09"/>
        <n v="1303.0999999999999"/>
        <n v="1838.1"/>
        <n v="1129.83"/>
        <n v="1547.46"/>
        <n v="793.65"/>
        <n v="582.22"/>
        <n v="877.94"/>
        <n v="240.46"/>
        <n v="1773.6"/>
        <n v="1114.8499999999999"/>
        <n v="845.46"/>
        <n v="1549.76"/>
        <n v="1237.47"/>
        <n v="642.26"/>
        <n v="439.21"/>
        <n v="1638.6"/>
      </sharedItems>
    </cacheField>
    <cacheField name="Quantity" numFmtId="0">
      <sharedItems containsSemiMixedTypes="0" containsString="0" containsNumber="1" containsInteger="1" minValue="1" maxValue="10"/>
    </cacheField>
    <cacheField name="Profit" numFmtId="0">
      <sharedItems containsSemiMixedTypes="0" containsString="0" containsNumber="1" minValue="11.43" maxValue="734.53" count="400">
        <n v="327.08999999999997"/>
        <n v="44.65"/>
        <n v="109.47"/>
        <n v="186.05"/>
        <n v="393.31"/>
        <n v="260.8"/>
        <n v="365.39"/>
        <n v="180.51"/>
        <n v="102.62"/>
        <n v="632.53"/>
        <n v="361.91"/>
        <n v="367.14"/>
        <n v="324.67"/>
        <n v="95.17"/>
        <n v="281.77"/>
        <n v="354.35"/>
        <n v="138.52000000000001"/>
        <n v="105.82"/>
        <n v="225.85"/>
        <n v="233.65"/>
        <n v="31.14"/>
        <n v="157.78"/>
        <n v="166.13"/>
        <n v="348.3"/>
        <n v="292.33"/>
        <n v="500.65"/>
        <n v="35.229999999999997"/>
        <n v="416.02"/>
        <n v="79.930000000000007"/>
        <n v="96.41"/>
        <n v="69.540000000000006"/>
        <n v="151.79"/>
        <n v="403.97"/>
        <n v="605.04999999999995"/>
        <n v="470.08"/>
        <n v="35.729999999999997"/>
        <n v="30.2"/>
        <n v="422.09"/>
        <n v="336.8"/>
        <n v="167.64"/>
        <n v="308.12"/>
        <n v="192.06"/>
        <n v="158.99"/>
        <n v="186.79"/>
        <n v="450.65"/>
        <n v="50.35"/>
        <n v="565.72"/>
        <n v="58.48"/>
        <n v="460.99"/>
        <n v="44.56"/>
        <n v="144.83000000000001"/>
        <n v="162.72"/>
        <n v="361.57"/>
        <n v="683.91"/>
        <n v="181.66"/>
        <n v="128.26"/>
        <n v="717.51"/>
        <n v="23.26"/>
        <n v="17.62"/>
        <n v="237.69"/>
        <n v="119.95"/>
        <n v="214.86"/>
        <n v="267.27999999999997"/>
        <n v="73.34"/>
        <n v="620.61"/>
        <n v="176.5"/>
        <n v="331.52"/>
        <n v="268.73"/>
        <n v="184.81"/>
        <n v="165.23"/>
        <n v="504.57"/>
        <n v="339.52"/>
        <n v="57.13"/>
        <n v="556.27"/>
        <n v="264.33999999999997"/>
        <n v="619.78"/>
        <n v="75.63"/>
        <n v="70.569999999999993"/>
        <n v="159.78"/>
        <n v="239.46"/>
        <n v="135.93"/>
        <n v="149.46"/>
        <n v="101.14"/>
        <n v="138.15"/>
        <n v="150.16"/>
        <n v="47.8"/>
        <n v="292.73"/>
        <n v="167.18"/>
        <n v="589.79"/>
        <n v="546.02"/>
        <n v="146.44"/>
        <n v="105.67"/>
        <n v="310.8"/>
        <n v="68.72"/>
        <n v="187.15"/>
        <n v="275.18"/>
        <n v="97.98"/>
        <n v="408.23"/>
        <n v="368.23"/>
        <n v="91.72"/>
        <n v="174.95"/>
        <n v="261.82"/>
        <n v="242.52"/>
        <n v="120.08"/>
        <n v="24.33"/>
        <n v="253.36"/>
        <n v="112.75"/>
        <n v="369.06"/>
        <n v="137.55000000000001"/>
        <n v="560.69000000000005"/>
        <n v="468.8"/>
        <n v="338.72"/>
        <n v="542.28"/>
        <n v="303.47000000000003"/>
        <n v="441.23"/>
        <n v="231.7"/>
        <n v="71.41"/>
        <n v="294.83999999999997"/>
        <n v="506.43"/>
        <n v="190.31"/>
        <n v="381.81"/>
        <n v="68.38"/>
        <n v="139.03"/>
        <n v="292.58999999999997"/>
        <n v="93.19"/>
        <n v="376.33"/>
        <n v="108.83"/>
        <n v="312.77"/>
        <n v="115.21"/>
        <n v="288.89"/>
        <n v="486.37"/>
        <n v="132.34"/>
        <n v="236.78"/>
        <n v="89.26"/>
        <n v="95.35"/>
        <n v="144.66999999999999"/>
        <n v="147.41999999999999"/>
        <n v="37.46"/>
        <n v="366.11"/>
        <n v="31.22"/>
        <n v="380.37"/>
        <n v="162.62"/>
        <n v="114.32"/>
        <n v="382.62"/>
        <n v="113.17"/>
        <n v="498.57"/>
        <n v="181.37"/>
        <n v="133.85"/>
        <n v="82.17"/>
        <n v="67.44"/>
        <n v="520.71"/>
        <n v="622.36"/>
        <n v="612.09"/>
        <n v="71.84"/>
        <n v="46.89"/>
        <n v="427.48"/>
        <n v="133.94"/>
        <n v="281.89"/>
        <n v="65.959999999999994"/>
        <n v="107.07"/>
        <n v="481.7"/>
        <n v="299.31"/>
        <n v="471.48"/>
        <n v="179.03"/>
        <n v="169.55"/>
        <n v="59.48"/>
        <n v="214.17"/>
        <n v="49.07"/>
        <n v="226.12"/>
        <n v="545.87"/>
        <n v="100.68"/>
        <n v="360.68"/>
        <n v="192.01"/>
        <n v="48.22"/>
        <n v="75.16"/>
        <n v="580.32000000000005"/>
        <n v="546.85"/>
        <n v="365.61"/>
        <n v="85.65"/>
        <n v="79.23"/>
        <n v="107.47"/>
        <n v="47.4"/>
        <n v="238.54"/>
        <n v="72.48"/>
        <n v="509.56"/>
        <n v="711.79"/>
        <n v="41.55"/>
        <n v="123.18"/>
        <n v="543.33000000000004"/>
        <n v="349.23"/>
        <n v="718.83"/>
        <n v="137.66"/>
        <n v="50.82"/>
        <n v="123.46"/>
        <n v="148.41999999999999"/>
        <n v="99.45"/>
        <n v="430.56"/>
        <n v="491.85"/>
        <n v="520.6"/>
        <n v="195.19"/>
        <n v="199.66"/>
        <n v="85.94"/>
        <n v="35.85"/>
        <n v="226.46"/>
        <n v="35.78"/>
        <n v="295.55"/>
        <n v="181.6"/>
        <n v="507.6"/>
        <n v="154.32"/>
        <n v="140.24"/>
        <n v="218.58"/>
        <n v="403.52"/>
        <n v="139.62"/>
        <n v="66.319999999999993"/>
        <n v="468.91"/>
        <n v="160.75"/>
        <n v="645.24"/>
        <n v="106.07"/>
        <n v="528.84"/>
        <n v="421.47"/>
        <n v="81.52"/>
        <n v="21.8"/>
        <n v="13.06"/>
        <n v="441.09"/>
        <n v="177.87"/>
        <n v="298.42"/>
        <n v="459.31"/>
        <n v="246.85"/>
        <n v="275.97000000000003"/>
        <n v="51.2"/>
        <n v="132.87"/>
        <n v="74.400000000000006"/>
        <n v="131.88"/>
        <n v="246.9"/>
        <n v="88.54"/>
        <n v="206.47"/>
        <n v="219.15"/>
        <n v="148.34"/>
        <n v="71.83"/>
        <n v="326.08"/>
        <n v="11.43"/>
        <n v="352.19"/>
        <n v="172.2"/>
        <n v="141.68"/>
        <n v="144.38"/>
        <n v="144.61000000000001"/>
        <n v="216.92"/>
        <n v="132.29"/>
        <n v="507.8"/>
        <n v="123.83"/>
        <n v="87.81"/>
        <n v="284.93"/>
        <n v="221.33"/>
        <n v="218.91"/>
        <n v="113.35"/>
        <n v="85.34"/>
        <n v="348.86"/>
        <n v="108.73"/>
        <n v="202.78"/>
        <n v="15.3"/>
        <n v="167.52"/>
        <n v="181.51"/>
        <n v="290.12"/>
        <n v="38.68"/>
        <n v="176.2"/>
        <n v="85.93"/>
        <n v="22.28"/>
        <n v="46.44"/>
        <n v="136.11000000000001"/>
        <n v="316.87"/>
        <n v="129.41999999999999"/>
        <n v="538.41999999999996"/>
        <n v="137.47999999999999"/>
        <n v="304.58999999999997"/>
        <n v="316.95999999999998"/>
        <n v="281.13"/>
        <n v="145.34"/>
        <n v="105.48"/>
        <n v="672.5"/>
        <n v="206.26"/>
        <n v="102.56"/>
        <n v="60.81"/>
        <n v="288.48"/>
        <n v="287.36"/>
        <n v="240.09"/>
        <n v="284.16000000000003"/>
        <n v="78.790000000000006"/>
        <n v="137.06"/>
        <n v="186.92"/>
        <n v="146.94999999999999"/>
        <n v="233.62"/>
        <n v="162.71"/>
        <n v="76.69"/>
        <n v="579.05999999999995"/>
        <n v="188.76"/>
        <n v="599.6"/>
        <n v="186.72"/>
        <n v="116.99"/>
        <n v="237.68"/>
        <n v="278.83999999999997"/>
        <n v="627.9"/>
        <n v="460.52"/>
        <n v="139.59"/>
        <n v="83.97"/>
        <n v="526.84"/>
        <n v="247.92"/>
        <n v="168.81"/>
        <n v="726.12"/>
        <n v="163.19999999999999"/>
        <n v="522.53"/>
        <n v="359.24"/>
        <n v="210.05"/>
        <n v="467.26"/>
        <n v="100.12"/>
        <n v="245.36"/>
        <n v="47.97"/>
        <n v="184.56"/>
        <n v="504.11"/>
        <n v="313.42"/>
        <n v="240.01"/>
        <n v="366.31"/>
        <n v="312.60000000000002"/>
        <n v="49.91"/>
        <n v="64.92"/>
        <n v="94.69"/>
        <n v="582.45000000000005"/>
        <n v="74.8"/>
        <n v="150.21"/>
        <n v="231.36"/>
        <n v="281.69"/>
        <n v="265.58"/>
        <n v="381.77"/>
        <n v="536.85"/>
        <n v="315.79000000000002"/>
        <n v="269.13"/>
        <n v="34.340000000000003"/>
        <n v="267.95999999999998"/>
        <n v="120.88"/>
        <n v="92.69"/>
        <n v="224.95"/>
        <n v="19.11"/>
        <n v="243.63"/>
        <n v="26.18"/>
        <n v="366.12"/>
        <n v="65.81"/>
        <n v="734.53"/>
        <n v="358.54"/>
        <n v="97.68"/>
        <n v="159.22999999999999"/>
        <n v="175.96"/>
        <n v="229.31"/>
        <n v="24.97"/>
        <n v="548.08000000000004"/>
        <n v="15.99"/>
        <n v="99.38"/>
        <n v="30.59"/>
        <n v="333.71"/>
        <n v="235.04"/>
        <n v="456.48"/>
        <n v="66.23"/>
        <n v="111.76"/>
        <n v="86.11"/>
        <n v="87.84"/>
        <n v="168.88"/>
        <n v="365.46"/>
        <n v="29.11"/>
        <n v="294.88"/>
        <n v="171.94"/>
        <n v="717.68"/>
        <n v="259.55"/>
        <n v="151.26"/>
        <n v="600.37"/>
        <n v="656"/>
        <n v="28.47"/>
        <n v="492.62"/>
        <n v="239.8"/>
        <n v="23.76"/>
        <n v="160.82"/>
        <n v="666.22"/>
        <n v="615.88"/>
        <n v="287.33999999999997"/>
        <n v="62.65"/>
        <n v="420.73"/>
        <n v="284.69"/>
        <n v="165.57"/>
        <n v="250.96"/>
        <n v="136.41"/>
        <n v="106.77"/>
        <n v="312.67"/>
        <n v="164.4"/>
        <n v="53.13"/>
        <n v="47.42"/>
        <n v="406.2"/>
        <n v="366.15"/>
        <n v="172.33"/>
        <n v="191.38"/>
        <n v="67.819999999999993"/>
        <n v="216.4"/>
        <n v="58.18"/>
        <n v="600.12"/>
      </sharedItems>
    </cacheField>
    <cacheField name="Discount" numFmtId="0">
      <sharedItems containsSemiMixedTypes="0" containsString="0" containsNumber="1" minValue="0" maxValue="0.3" count="31">
        <n v="0.1"/>
        <n v="0.08"/>
        <n v="0.06"/>
        <n v="0.17"/>
        <n v="7.0000000000000007E-2"/>
        <n v="0.21"/>
        <n v="0.18"/>
        <n v="0.12"/>
        <n v="0.27"/>
        <n v="0.25"/>
        <n v="0.28000000000000003"/>
        <n v="0.13"/>
        <n v="0.11"/>
        <n v="0.2"/>
        <n v="0.04"/>
        <n v="0.23"/>
        <n v="0.03"/>
        <n v="0.01"/>
        <n v="0.14000000000000001"/>
        <n v="0.24"/>
        <n v="0.15"/>
        <n v="0.02"/>
        <n v="0.05"/>
        <n v="0"/>
        <n v="0.16"/>
        <n v="0.26"/>
        <n v="0.19"/>
        <n v="0.09"/>
        <n v="0.28999999999999998"/>
        <n v="0.3"/>
        <n v="0.22"/>
      </sharedItems>
    </cacheField>
    <cacheField name="Days (Date)" numFmtId="0" databaseField="0">
      <fieldGroup base="1">
        <rangePr groupBy="days" startDate="2025-01-01T00:00:00" endDate="2025-12-29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5"/>
        </groupItems>
      </fieldGroup>
    </cacheField>
    <cacheField name="Months (Date)" numFmtId="0" databaseField="0">
      <fieldGroup base="1">
        <rangePr groupBy="months" startDate="2025-01-01T00:00:00" endDate="2025-12-29T00:00:00"/>
        <groupItems count="14">
          <s v="&lt;01-01-2025"/>
          <s v="Jan"/>
          <s v="Feb"/>
          <s v="Mar"/>
          <s v="Apr"/>
          <s v="May"/>
          <s v="Jun"/>
          <s v="Jul"/>
          <s v="Aug"/>
          <s v="Sep"/>
          <s v="Oct"/>
          <s v="Nov"/>
          <s v="Dec"/>
          <s v="&gt;29-12-2025"/>
        </groupItems>
      </fieldGroup>
    </cacheField>
  </cacheFields>
  <extLst>
    <ext xmlns:x14="http://schemas.microsoft.com/office/spreadsheetml/2009/9/main" uri="{725AE2AE-9491-48be-B2B4-4EB974FC3084}">
      <x14:pivotCacheDefinition pivotCacheId="1702563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x v="0"/>
    <x v="0"/>
    <x v="0"/>
    <s v="Cust2"/>
    <x v="0"/>
    <x v="0"/>
    <n v="5"/>
    <x v="0"/>
    <x v="0"/>
  </r>
  <r>
    <x v="1"/>
    <x v="1"/>
    <x v="1"/>
    <x v="1"/>
    <x v="0"/>
    <x v="1"/>
    <s v="Cust3"/>
    <x v="0"/>
    <x v="1"/>
    <n v="8"/>
    <x v="1"/>
    <x v="1"/>
  </r>
  <r>
    <x v="2"/>
    <x v="2"/>
    <x v="0"/>
    <x v="0"/>
    <x v="0"/>
    <x v="2"/>
    <s v="Cust4"/>
    <x v="0"/>
    <x v="2"/>
    <n v="4"/>
    <x v="2"/>
    <x v="1"/>
  </r>
  <r>
    <x v="3"/>
    <x v="3"/>
    <x v="2"/>
    <x v="0"/>
    <x v="0"/>
    <x v="3"/>
    <s v="Cust5"/>
    <x v="0"/>
    <x v="3"/>
    <n v="1"/>
    <x v="3"/>
    <x v="0"/>
  </r>
  <r>
    <x v="4"/>
    <x v="4"/>
    <x v="2"/>
    <x v="2"/>
    <x v="0"/>
    <x v="4"/>
    <s v="Cust6"/>
    <x v="1"/>
    <x v="4"/>
    <n v="2"/>
    <x v="4"/>
    <x v="2"/>
  </r>
  <r>
    <x v="5"/>
    <x v="5"/>
    <x v="2"/>
    <x v="0"/>
    <x v="0"/>
    <x v="5"/>
    <s v="Cust7"/>
    <x v="2"/>
    <x v="5"/>
    <n v="5"/>
    <x v="5"/>
    <x v="3"/>
  </r>
  <r>
    <x v="6"/>
    <x v="6"/>
    <x v="3"/>
    <x v="2"/>
    <x v="0"/>
    <x v="6"/>
    <s v="Cust8"/>
    <x v="0"/>
    <x v="6"/>
    <n v="2"/>
    <x v="6"/>
    <x v="4"/>
  </r>
  <r>
    <x v="7"/>
    <x v="7"/>
    <x v="2"/>
    <x v="0"/>
    <x v="0"/>
    <x v="7"/>
    <s v="Cust9"/>
    <x v="1"/>
    <x v="7"/>
    <n v="8"/>
    <x v="7"/>
    <x v="5"/>
  </r>
  <r>
    <x v="8"/>
    <x v="8"/>
    <x v="3"/>
    <x v="1"/>
    <x v="0"/>
    <x v="8"/>
    <s v="Cust10"/>
    <x v="0"/>
    <x v="8"/>
    <n v="9"/>
    <x v="8"/>
    <x v="3"/>
  </r>
  <r>
    <x v="9"/>
    <x v="9"/>
    <x v="2"/>
    <x v="2"/>
    <x v="0"/>
    <x v="9"/>
    <s v="Cust11"/>
    <x v="0"/>
    <x v="9"/>
    <n v="10"/>
    <x v="9"/>
    <x v="5"/>
  </r>
  <r>
    <x v="10"/>
    <x v="10"/>
    <x v="3"/>
    <x v="0"/>
    <x v="0"/>
    <x v="10"/>
    <s v="Cust12"/>
    <x v="1"/>
    <x v="10"/>
    <n v="1"/>
    <x v="10"/>
    <x v="6"/>
  </r>
  <r>
    <x v="11"/>
    <x v="11"/>
    <x v="1"/>
    <x v="2"/>
    <x v="0"/>
    <x v="11"/>
    <s v="Cust13"/>
    <x v="1"/>
    <x v="11"/>
    <n v="9"/>
    <x v="11"/>
    <x v="0"/>
  </r>
  <r>
    <x v="12"/>
    <x v="12"/>
    <x v="2"/>
    <x v="0"/>
    <x v="0"/>
    <x v="12"/>
    <s v="Cust14"/>
    <x v="1"/>
    <x v="12"/>
    <n v="1"/>
    <x v="12"/>
    <x v="7"/>
  </r>
  <r>
    <x v="13"/>
    <x v="13"/>
    <x v="1"/>
    <x v="2"/>
    <x v="0"/>
    <x v="13"/>
    <s v="Cust15"/>
    <x v="1"/>
    <x v="13"/>
    <n v="7"/>
    <x v="13"/>
    <x v="8"/>
  </r>
  <r>
    <x v="14"/>
    <x v="14"/>
    <x v="2"/>
    <x v="1"/>
    <x v="0"/>
    <x v="14"/>
    <s v="Cust16"/>
    <x v="0"/>
    <x v="14"/>
    <n v="5"/>
    <x v="14"/>
    <x v="7"/>
  </r>
  <r>
    <x v="15"/>
    <x v="15"/>
    <x v="0"/>
    <x v="1"/>
    <x v="0"/>
    <x v="15"/>
    <s v="Cust17"/>
    <x v="1"/>
    <x v="15"/>
    <n v="2"/>
    <x v="15"/>
    <x v="9"/>
  </r>
  <r>
    <x v="16"/>
    <x v="16"/>
    <x v="2"/>
    <x v="1"/>
    <x v="0"/>
    <x v="16"/>
    <s v="Cust18"/>
    <x v="1"/>
    <x v="16"/>
    <n v="2"/>
    <x v="16"/>
    <x v="10"/>
  </r>
  <r>
    <x v="17"/>
    <x v="17"/>
    <x v="3"/>
    <x v="2"/>
    <x v="0"/>
    <x v="17"/>
    <s v="Cust19"/>
    <x v="1"/>
    <x v="17"/>
    <n v="6"/>
    <x v="17"/>
    <x v="11"/>
  </r>
  <r>
    <x v="18"/>
    <x v="18"/>
    <x v="2"/>
    <x v="1"/>
    <x v="0"/>
    <x v="18"/>
    <s v="Cust20"/>
    <x v="2"/>
    <x v="18"/>
    <n v="4"/>
    <x v="18"/>
    <x v="3"/>
  </r>
  <r>
    <x v="19"/>
    <x v="11"/>
    <x v="3"/>
    <x v="0"/>
    <x v="0"/>
    <x v="19"/>
    <s v="Cust21"/>
    <x v="1"/>
    <x v="19"/>
    <n v="5"/>
    <x v="19"/>
    <x v="12"/>
  </r>
  <r>
    <x v="20"/>
    <x v="19"/>
    <x v="3"/>
    <x v="0"/>
    <x v="0"/>
    <x v="20"/>
    <s v="Cust22"/>
    <x v="1"/>
    <x v="20"/>
    <n v="5"/>
    <x v="20"/>
    <x v="8"/>
  </r>
  <r>
    <x v="21"/>
    <x v="20"/>
    <x v="2"/>
    <x v="0"/>
    <x v="0"/>
    <x v="21"/>
    <s v="Cust23"/>
    <x v="2"/>
    <x v="21"/>
    <n v="10"/>
    <x v="21"/>
    <x v="13"/>
  </r>
  <r>
    <x v="22"/>
    <x v="3"/>
    <x v="1"/>
    <x v="2"/>
    <x v="0"/>
    <x v="22"/>
    <s v="Cust24"/>
    <x v="2"/>
    <x v="22"/>
    <n v="2"/>
    <x v="22"/>
    <x v="14"/>
  </r>
  <r>
    <x v="23"/>
    <x v="21"/>
    <x v="1"/>
    <x v="2"/>
    <x v="0"/>
    <x v="23"/>
    <s v="Cust25"/>
    <x v="1"/>
    <x v="23"/>
    <n v="4"/>
    <x v="23"/>
    <x v="15"/>
  </r>
  <r>
    <x v="24"/>
    <x v="22"/>
    <x v="1"/>
    <x v="1"/>
    <x v="0"/>
    <x v="24"/>
    <s v="Cust26"/>
    <x v="0"/>
    <x v="24"/>
    <n v="8"/>
    <x v="24"/>
    <x v="16"/>
  </r>
  <r>
    <x v="25"/>
    <x v="23"/>
    <x v="0"/>
    <x v="1"/>
    <x v="0"/>
    <x v="25"/>
    <s v="Cust27"/>
    <x v="0"/>
    <x v="25"/>
    <n v="4"/>
    <x v="25"/>
    <x v="14"/>
  </r>
  <r>
    <x v="26"/>
    <x v="24"/>
    <x v="2"/>
    <x v="0"/>
    <x v="0"/>
    <x v="26"/>
    <s v="Cust28"/>
    <x v="0"/>
    <x v="26"/>
    <n v="6"/>
    <x v="26"/>
    <x v="6"/>
  </r>
  <r>
    <x v="27"/>
    <x v="25"/>
    <x v="1"/>
    <x v="0"/>
    <x v="0"/>
    <x v="27"/>
    <s v="Cust29"/>
    <x v="1"/>
    <x v="27"/>
    <n v="3"/>
    <x v="27"/>
    <x v="12"/>
  </r>
  <r>
    <x v="28"/>
    <x v="26"/>
    <x v="2"/>
    <x v="2"/>
    <x v="0"/>
    <x v="28"/>
    <s v="Cust30"/>
    <x v="2"/>
    <x v="28"/>
    <n v="2"/>
    <x v="28"/>
    <x v="9"/>
  </r>
  <r>
    <x v="29"/>
    <x v="27"/>
    <x v="2"/>
    <x v="0"/>
    <x v="0"/>
    <x v="29"/>
    <s v="Cust31"/>
    <x v="0"/>
    <x v="29"/>
    <n v="9"/>
    <x v="29"/>
    <x v="6"/>
  </r>
  <r>
    <x v="30"/>
    <x v="28"/>
    <x v="2"/>
    <x v="2"/>
    <x v="0"/>
    <x v="30"/>
    <s v="Cust32"/>
    <x v="1"/>
    <x v="30"/>
    <n v="5"/>
    <x v="30"/>
    <x v="1"/>
  </r>
  <r>
    <x v="31"/>
    <x v="29"/>
    <x v="0"/>
    <x v="2"/>
    <x v="0"/>
    <x v="31"/>
    <s v="Cust33"/>
    <x v="1"/>
    <x v="31"/>
    <n v="2"/>
    <x v="31"/>
    <x v="10"/>
  </r>
  <r>
    <x v="32"/>
    <x v="30"/>
    <x v="0"/>
    <x v="0"/>
    <x v="0"/>
    <x v="32"/>
    <s v="Cust34"/>
    <x v="0"/>
    <x v="32"/>
    <n v="10"/>
    <x v="32"/>
    <x v="17"/>
  </r>
  <r>
    <x v="33"/>
    <x v="31"/>
    <x v="1"/>
    <x v="0"/>
    <x v="0"/>
    <x v="33"/>
    <s v="Cust35"/>
    <x v="1"/>
    <x v="33"/>
    <n v="3"/>
    <x v="33"/>
    <x v="9"/>
  </r>
  <r>
    <x v="34"/>
    <x v="32"/>
    <x v="2"/>
    <x v="1"/>
    <x v="0"/>
    <x v="34"/>
    <s v="Cust36"/>
    <x v="0"/>
    <x v="34"/>
    <n v="4"/>
    <x v="34"/>
    <x v="10"/>
  </r>
  <r>
    <x v="35"/>
    <x v="33"/>
    <x v="3"/>
    <x v="0"/>
    <x v="0"/>
    <x v="35"/>
    <s v="Cust37"/>
    <x v="2"/>
    <x v="35"/>
    <n v="8"/>
    <x v="35"/>
    <x v="9"/>
  </r>
  <r>
    <x v="36"/>
    <x v="34"/>
    <x v="3"/>
    <x v="0"/>
    <x v="0"/>
    <x v="36"/>
    <s v="Cust38"/>
    <x v="0"/>
    <x v="36"/>
    <n v="7"/>
    <x v="36"/>
    <x v="18"/>
  </r>
  <r>
    <x v="37"/>
    <x v="35"/>
    <x v="1"/>
    <x v="2"/>
    <x v="0"/>
    <x v="37"/>
    <s v="Cust39"/>
    <x v="1"/>
    <x v="37"/>
    <n v="10"/>
    <x v="37"/>
    <x v="19"/>
  </r>
  <r>
    <x v="38"/>
    <x v="36"/>
    <x v="1"/>
    <x v="0"/>
    <x v="0"/>
    <x v="38"/>
    <s v="Cust40"/>
    <x v="1"/>
    <x v="38"/>
    <n v="5"/>
    <x v="38"/>
    <x v="7"/>
  </r>
  <r>
    <x v="39"/>
    <x v="24"/>
    <x v="2"/>
    <x v="2"/>
    <x v="0"/>
    <x v="39"/>
    <s v="Cust41"/>
    <x v="0"/>
    <x v="39"/>
    <n v="4"/>
    <x v="39"/>
    <x v="20"/>
  </r>
  <r>
    <x v="40"/>
    <x v="37"/>
    <x v="0"/>
    <x v="0"/>
    <x v="0"/>
    <x v="40"/>
    <s v="Cust42"/>
    <x v="1"/>
    <x v="40"/>
    <n v="8"/>
    <x v="40"/>
    <x v="3"/>
  </r>
  <r>
    <x v="41"/>
    <x v="38"/>
    <x v="0"/>
    <x v="1"/>
    <x v="0"/>
    <x v="41"/>
    <s v="Cust43"/>
    <x v="0"/>
    <x v="41"/>
    <n v="7"/>
    <x v="41"/>
    <x v="21"/>
  </r>
  <r>
    <x v="42"/>
    <x v="39"/>
    <x v="1"/>
    <x v="0"/>
    <x v="0"/>
    <x v="42"/>
    <s v="Cust44"/>
    <x v="0"/>
    <x v="42"/>
    <n v="8"/>
    <x v="42"/>
    <x v="17"/>
  </r>
  <r>
    <x v="43"/>
    <x v="40"/>
    <x v="1"/>
    <x v="1"/>
    <x v="0"/>
    <x v="43"/>
    <s v="Cust45"/>
    <x v="1"/>
    <x v="43"/>
    <n v="9"/>
    <x v="43"/>
    <x v="19"/>
  </r>
  <r>
    <x v="44"/>
    <x v="41"/>
    <x v="2"/>
    <x v="0"/>
    <x v="0"/>
    <x v="44"/>
    <s v="Cust46"/>
    <x v="1"/>
    <x v="44"/>
    <n v="3"/>
    <x v="44"/>
    <x v="13"/>
  </r>
  <r>
    <x v="45"/>
    <x v="42"/>
    <x v="3"/>
    <x v="2"/>
    <x v="0"/>
    <x v="45"/>
    <s v="Cust47"/>
    <x v="1"/>
    <x v="45"/>
    <n v="5"/>
    <x v="45"/>
    <x v="22"/>
  </r>
  <r>
    <x v="46"/>
    <x v="43"/>
    <x v="0"/>
    <x v="1"/>
    <x v="0"/>
    <x v="46"/>
    <s v="Cust48"/>
    <x v="2"/>
    <x v="46"/>
    <n v="10"/>
    <x v="46"/>
    <x v="13"/>
  </r>
  <r>
    <x v="47"/>
    <x v="44"/>
    <x v="0"/>
    <x v="2"/>
    <x v="0"/>
    <x v="47"/>
    <s v="Cust49"/>
    <x v="1"/>
    <x v="47"/>
    <n v="8"/>
    <x v="47"/>
    <x v="23"/>
  </r>
  <r>
    <x v="48"/>
    <x v="45"/>
    <x v="1"/>
    <x v="1"/>
    <x v="0"/>
    <x v="48"/>
    <s v="Cust50"/>
    <x v="1"/>
    <x v="48"/>
    <n v="7"/>
    <x v="48"/>
    <x v="7"/>
  </r>
  <r>
    <x v="49"/>
    <x v="46"/>
    <x v="2"/>
    <x v="1"/>
    <x v="0"/>
    <x v="49"/>
    <s v="Cust51"/>
    <x v="2"/>
    <x v="49"/>
    <n v="4"/>
    <x v="49"/>
    <x v="3"/>
  </r>
  <r>
    <x v="50"/>
    <x v="47"/>
    <x v="0"/>
    <x v="1"/>
    <x v="0"/>
    <x v="50"/>
    <s v="Cust52"/>
    <x v="0"/>
    <x v="50"/>
    <n v="1"/>
    <x v="50"/>
    <x v="11"/>
  </r>
  <r>
    <x v="51"/>
    <x v="48"/>
    <x v="0"/>
    <x v="0"/>
    <x v="0"/>
    <x v="51"/>
    <s v="Cust53"/>
    <x v="1"/>
    <x v="51"/>
    <n v="9"/>
    <x v="51"/>
    <x v="8"/>
  </r>
  <r>
    <x v="52"/>
    <x v="49"/>
    <x v="1"/>
    <x v="0"/>
    <x v="0"/>
    <x v="52"/>
    <s v="Cust54"/>
    <x v="0"/>
    <x v="52"/>
    <n v="7"/>
    <x v="52"/>
    <x v="2"/>
  </r>
  <r>
    <x v="53"/>
    <x v="50"/>
    <x v="1"/>
    <x v="2"/>
    <x v="0"/>
    <x v="53"/>
    <s v="Cust55"/>
    <x v="2"/>
    <x v="53"/>
    <n v="9"/>
    <x v="53"/>
    <x v="21"/>
  </r>
  <r>
    <x v="54"/>
    <x v="51"/>
    <x v="2"/>
    <x v="0"/>
    <x v="0"/>
    <x v="54"/>
    <s v="Cust56"/>
    <x v="2"/>
    <x v="54"/>
    <n v="6"/>
    <x v="54"/>
    <x v="24"/>
  </r>
  <r>
    <x v="55"/>
    <x v="52"/>
    <x v="3"/>
    <x v="0"/>
    <x v="0"/>
    <x v="55"/>
    <s v="Cust57"/>
    <x v="1"/>
    <x v="55"/>
    <n v="5"/>
    <x v="55"/>
    <x v="21"/>
  </r>
  <r>
    <x v="56"/>
    <x v="53"/>
    <x v="2"/>
    <x v="1"/>
    <x v="0"/>
    <x v="56"/>
    <s v="Cust58"/>
    <x v="0"/>
    <x v="56"/>
    <n v="3"/>
    <x v="56"/>
    <x v="4"/>
  </r>
  <r>
    <x v="57"/>
    <x v="27"/>
    <x v="3"/>
    <x v="0"/>
    <x v="0"/>
    <x v="57"/>
    <s v="Cust59"/>
    <x v="0"/>
    <x v="57"/>
    <n v="6"/>
    <x v="57"/>
    <x v="25"/>
  </r>
  <r>
    <x v="58"/>
    <x v="54"/>
    <x v="1"/>
    <x v="1"/>
    <x v="0"/>
    <x v="58"/>
    <s v="Cust60"/>
    <x v="0"/>
    <x v="58"/>
    <n v="5"/>
    <x v="58"/>
    <x v="24"/>
  </r>
  <r>
    <x v="59"/>
    <x v="55"/>
    <x v="2"/>
    <x v="0"/>
    <x v="0"/>
    <x v="59"/>
    <s v="Cust61"/>
    <x v="0"/>
    <x v="59"/>
    <n v="9"/>
    <x v="59"/>
    <x v="26"/>
  </r>
  <r>
    <x v="60"/>
    <x v="56"/>
    <x v="0"/>
    <x v="0"/>
    <x v="0"/>
    <x v="60"/>
    <s v="Cust62"/>
    <x v="1"/>
    <x v="60"/>
    <n v="1"/>
    <x v="60"/>
    <x v="7"/>
  </r>
  <r>
    <x v="61"/>
    <x v="57"/>
    <x v="0"/>
    <x v="2"/>
    <x v="0"/>
    <x v="61"/>
    <s v="Cust63"/>
    <x v="2"/>
    <x v="61"/>
    <n v="7"/>
    <x v="61"/>
    <x v="13"/>
  </r>
  <r>
    <x v="62"/>
    <x v="58"/>
    <x v="1"/>
    <x v="2"/>
    <x v="0"/>
    <x v="62"/>
    <s v="Cust64"/>
    <x v="1"/>
    <x v="62"/>
    <n v="6"/>
    <x v="62"/>
    <x v="21"/>
  </r>
  <r>
    <x v="63"/>
    <x v="59"/>
    <x v="2"/>
    <x v="2"/>
    <x v="0"/>
    <x v="63"/>
    <s v="Cust65"/>
    <x v="1"/>
    <x v="63"/>
    <n v="6"/>
    <x v="63"/>
    <x v="22"/>
  </r>
  <r>
    <x v="64"/>
    <x v="60"/>
    <x v="3"/>
    <x v="1"/>
    <x v="0"/>
    <x v="64"/>
    <s v="Cust66"/>
    <x v="0"/>
    <x v="64"/>
    <n v="3"/>
    <x v="64"/>
    <x v="13"/>
  </r>
  <r>
    <x v="65"/>
    <x v="61"/>
    <x v="2"/>
    <x v="2"/>
    <x v="0"/>
    <x v="65"/>
    <s v="Cust67"/>
    <x v="1"/>
    <x v="65"/>
    <n v="7"/>
    <x v="65"/>
    <x v="14"/>
  </r>
  <r>
    <x v="66"/>
    <x v="62"/>
    <x v="0"/>
    <x v="0"/>
    <x v="0"/>
    <x v="66"/>
    <s v="Cust68"/>
    <x v="0"/>
    <x v="66"/>
    <n v="3"/>
    <x v="66"/>
    <x v="21"/>
  </r>
  <r>
    <x v="67"/>
    <x v="63"/>
    <x v="2"/>
    <x v="1"/>
    <x v="0"/>
    <x v="67"/>
    <s v="Cust69"/>
    <x v="2"/>
    <x v="67"/>
    <n v="7"/>
    <x v="67"/>
    <x v="11"/>
  </r>
  <r>
    <x v="68"/>
    <x v="64"/>
    <x v="2"/>
    <x v="1"/>
    <x v="0"/>
    <x v="68"/>
    <s v="Cust70"/>
    <x v="0"/>
    <x v="68"/>
    <n v="10"/>
    <x v="68"/>
    <x v="1"/>
  </r>
  <r>
    <x v="69"/>
    <x v="13"/>
    <x v="1"/>
    <x v="0"/>
    <x v="0"/>
    <x v="69"/>
    <s v="Cust71"/>
    <x v="0"/>
    <x v="69"/>
    <n v="9"/>
    <x v="69"/>
    <x v="1"/>
  </r>
  <r>
    <x v="70"/>
    <x v="64"/>
    <x v="2"/>
    <x v="2"/>
    <x v="0"/>
    <x v="70"/>
    <s v="Cust72"/>
    <x v="1"/>
    <x v="70"/>
    <n v="10"/>
    <x v="70"/>
    <x v="8"/>
  </r>
  <r>
    <x v="71"/>
    <x v="65"/>
    <x v="0"/>
    <x v="0"/>
    <x v="0"/>
    <x v="71"/>
    <s v="Cust73"/>
    <x v="1"/>
    <x v="71"/>
    <n v="9"/>
    <x v="71"/>
    <x v="24"/>
  </r>
  <r>
    <x v="72"/>
    <x v="61"/>
    <x v="2"/>
    <x v="0"/>
    <x v="0"/>
    <x v="72"/>
    <s v="Cust74"/>
    <x v="2"/>
    <x v="72"/>
    <n v="8"/>
    <x v="72"/>
    <x v="22"/>
  </r>
  <r>
    <x v="73"/>
    <x v="30"/>
    <x v="2"/>
    <x v="2"/>
    <x v="0"/>
    <x v="73"/>
    <s v="Cust75"/>
    <x v="1"/>
    <x v="73"/>
    <n v="10"/>
    <x v="73"/>
    <x v="27"/>
  </r>
  <r>
    <x v="74"/>
    <x v="14"/>
    <x v="2"/>
    <x v="1"/>
    <x v="0"/>
    <x v="74"/>
    <s v="Cust76"/>
    <x v="2"/>
    <x v="74"/>
    <n v="8"/>
    <x v="74"/>
    <x v="2"/>
  </r>
  <r>
    <x v="75"/>
    <x v="19"/>
    <x v="2"/>
    <x v="2"/>
    <x v="0"/>
    <x v="75"/>
    <s v="Cust77"/>
    <x v="2"/>
    <x v="75"/>
    <n v="8"/>
    <x v="75"/>
    <x v="21"/>
  </r>
  <r>
    <x v="76"/>
    <x v="19"/>
    <x v="3"/>
    <x v="1"/>
    <x v="0"/>
    <x v="76"/>
    <s v="Cust78"/>
    <x v="1"/>
    <x v="76"/>
    <n v="3"/>
    <x v="76"/>
    <x v="1"/>
  </r>
  <r>
    <x v="77"/>
    <x v="66"/>
    <x v="1"/>
    <x v="1"/>
    <x v="0"/>
    <x v="77"/>
    <s v="Cust79"/>
    <x v="2"/>
    <x v="77"/>
    <n v="9"/>
    <x v="77"/>
    <x v="13"/>
  </r>
  <r>
    <x v="78"/>
    <x v="67"/>
    <x v="2"/>
    <x v="1"/>
    <x v="0"/>
    <x v="78"/>
    <s v="Cust80"/>
    <x v="2"/>
    <x v="78"/>
    <n v="6"/>
    <x v="78"/>
    <x v="8"/>
  </r>
  <r>
    <x v="79"/>
    <x v="54"/>
    <x v="0"/>
    <x v="1"/>
    <x v="0"/>
    <x v="79"/>
    <s v="Cust81"/>
    <x v="0"/>
    <x v="79"/>
    <n v="2"/>
    <x v="79"/>
    <x v="7"/>
  </r>
  <r>
    <x v="80"/>
    <x v="68"/>
    <x v="3"/>
    <x v="2"/>
    <x v="0"/>
    <x v="80"/>
    <s v="Cust82"/>
    <x v="0"/>
    <x v="80"/>
    <n v="3"/>
    <x v="80"/>
    <x v="12"/>
  </r>
  <r>
    <x v="81"/>
    <x v="69"/>
    <x v="3"/>
    <x v="2"/>
    <x v="0"/>
    <x v="81"/>
    <s v="Cust83"/>
    <x v="0"/>
    <x v="81"/>
    <n v="1"/>
    <x v="81"/>
    <x v="12"/>
  </r>
  <r>
    <x v="82"/>
    <x v="70"/>
    <x v="1"/>
    <x v="2"/>
    <x v="0"/>
    <x v="82"/>
    <s v="Cust84"/>
    <x v="0"/>
    <x v="82"/>
    <n v="7"/>
    <x v="82"/>
    <x v="26"/>
  </r>
  <r>
    <x v="83"/>
    <x v="19"/>
    <x v="3"/>
    <x v="2"/>
    <x v="0"/>
    <x v="83"/>
    <s v="Cust85"/>
    <x v="0"/>
    <x v="83"/>
    <n v="6"/>
    <x v="83"/>
    <x v="9"/>
  </r>
  <r>
    <x v="84"/>
    <x v="13"/>
    <x v="3"/>
    <x v="0"/>
    <x v="0"/>
    <x v="84"/>
    <s v="Cust86"/>
    <x v="1"/>
    <x v="84"/>
    <n v="5"/>
    <x v="84"/>
    <x v="7"/>
  </r>
  <r>
    <x v="85"/>
    <x v="71"/>
    <x v="1"/>
    <x v="1"/>
    <x v="0"/>
    <x v="85"/>
    <s v="Cust87"/>
    <x v="0"/>
    <x v="85"/>
    <n v="1"/>
    <x v="85"/>
    <x v="21"/>
  </r>
  <r>
    <x v="86"/>
    <x v="12"/>
    <x v="2"/>
    <x v="2"/>
    <x v="0"/>
    <x v="86"/>
    <s v="Cust88"/>
    <x v="2"/>
    <x v="86"/>
    <n v="10"/>
    <x v="86"/>
    <x v="5"/>
  </r>
  <r>
    <x v="87"/>
    <x v="72"/>
    <x v="2"/>
    <x v="2"/>
    <x v="0"/>
    <x v="87"/>
    <s v="Cust89"/>
    <x v="1"/>
    <x v="87"/>
    <n v="5"/>
    <x v="87"/>
    <x v="17"/>
  </r>
  <r>
    <x v="88"/>
    <x v="73"/>
    <x v="0"/>
    <x v="1"/>
    <x v="0"/>
    <x v="88"/>
    <s v="Cust90"/>
    <x v="2"/>
    <x v="88"/>
    <n v="3"/>
    <x v="88"/>
    <x v="12"/>
  </r>
  <r>
    <x v="89"/>
    <x v="74"/>
    <x v="1"/>
    <x v="0"/>
    <x v="0"/>
    <x v="89"/>
    <s v="Cust91"/>
    <x v="2"/>
    <x v="89"/>
    <n v="9"/>
    <x v="89"/>
    <x v="12"/>
  </r>
  <r>
    <x v="90"/>
    <x v="75"/>
    <x v="2"/>
    <x v="2"/>
    <x v="0"/>
    <x v="90"/>
    <s v="Cust92"/>
    <x v="2"/>
    <x v="90"/>
    <n v="1"/>
    <x v="90"/>
    <x v="22"/>
  </r>
  <r>
    <x v="91"/>
    <x v="76"/>
    <x v="0"/>
    <x v="0"/>
    <x v="0"/>
    <x v="91"/>
    <s v="Cust93"/>
    <x v="2"/>
    <x v="91"/>
    <n v="6"/>
    <x v="91"/>
    <x v="26"/>
  </r>
  <r>
    <x v="92"/>
    <x v="77"/>
    <x v="1"/>
    <x v="1"/>
    <x v="0"/>
    <x v="92"/>
    <s v="Cust94"/>
    <x v="0"/>
    <x v="92"/>
    <n v="3"/>
    <x v="92"/>
    <x v="6"/>
  </r>
  <r>
    <x v="93"/>
    <x v="78"/>
    <x v="0"/>
    <x v="1"/>
    <x v="0"/>
    <x v="93"/>
    <s v="Cust95"/>
    <x v="1"/>
    <x v="93"/>
    <n v="5"/>
    <x v="93"/>
    <x v="9"/>
  </r>
  <r>
    <x v="94"/>
    <x v="79"/>
    <x v="0"/>
    <x v="1"/>
    <x v="0"/>
    <x v="94"/>
    <s v="Cust96"/>
    <x v="1"/>
    <x v="94"/>
    <n v="9"/>
    <x v="94"/>
    <x v="11"/>
  </r>
  <r>
    <x v="95"/>
    <x v="80"/>
    <x v="2"/>
    <x v="0"/>
    <x v="0"/>
    <x v="95"/>
    <s v="Cust97"/>
    <x v="0"/>
    <x v="95"/>
    <n v="7"/>
    <x v="95"/>
    <x v="12"/>
  </r>
  <r>
    <x v="96"/>
    <x v="81"/>
    <x v="1"/>
    <x v="2"/>
    <x v="0"/>
    <x v="96"/>
    <s v="Cust98"/>
    <x v="2"/>
    <x v="96"/>
    <n v="4"/>
    <x v="96"/>
    <x v="5"/>
  </r>
  <r>
    <x v="97"/>
    <x v="82"/>
    <x v="1"/>
    <x v="1"/>
    <x v="0"/>
    <x v="97"/>
    <s v="Cust99"/>
    <x v="2"/>
    <x v="97"/>
    <n v="10"/>
    <x v="97"/>
    <x v="16"/>
  </r>
  <r>
    <x v="98"/>
    <x v="43"/>
    <x v="2"/>
    <x v="1"/>
    <x v="0"/>
    <x v="98"/>
    <s v="Cust100"/>
    <x v="1"/>
    <x v="98"/>
    <n v="7"/>
    <x v="98"/>
    <x v="1"/>
  </r>
  <r>
    <x v="99"/>
    <x v="69"/>
    <x v="1"/>
    <x v="0"/>
    <x v="0"/>
    <x v="99"/>
    <s v="Cust101"/>
    <x v="0"/>
    <x v="99"/>
    <n v="7"/>
    <x v="99"/>
    <x v="12"/>
  </r>
  <r>
    <x v="100"/>
    <x v="83"/>
    <x v="2"/>
    <x v="0"/>
    <x v="0"/>
    <x v="100"/>
    <s v="Cust102"/>
    <x v="1"/>
    <x v="100"/>
    <n v="10"/>
    <x v="100"/>
    <x v="4"/>
  </r>
  <r>
    <x v="101"/>
    <x v="84"/>
    <x v="0"/>
    <x v="1"/>
    <x v="0"/>
    <x v="101"/>
    <s v="Cust103"/>
    <x v="1"/>
    <x v="101"/>
    <n v="10"/>
    <x v="101"/>
    <x v="6"/>
  </r>
  <r>
    <x v="102"/>
    <x v="85"/>
    <x v="0"/>
    <x v="1"/>
    <x v="0"/>
    <x v="102"/>
    <s v="Cust104"/>
    <x v="1"/>
    <x v="102"/>
    <n v="8"/>
    <x v="102"/>
    <x v="9"/>
  </r>
  <r>
    <x v="103"/>
    <x v="86"/>
    <x v="0"/>
    <x v="2"/>
    <x v="0"/>
    <x v="103"/>
    <s v="Cust105"/>
    <x v="1"/>
    <x v="103"/>
    <n v="1"/>
    <x v="103"/>
    <x v="14"/>
  </r>
  <r>
    <x v="104"/>
    <x v="87"/>
    <x v="0"/>
    <x v="2"/>
    <x v="0"/>
    <x v="104"/>
    <s v="Cust106"/>
    <x v="0"/>
    <x v="104"/>
    <n v="10"/>
    <x v="104"/>
    <x v="6"/>
  </r>
  <r>
    <x v="105"/>
    <x v="88"/>
    <x v="0"/>
    <x v="1"/>
    <x v="0"/>
    <x v="105"/>
    <s v="Cust107"/>
    <x v="0"/>
    <x v="105"/>
    <n v="8"/>
    <x v="105"/>
    <x v="4"/>
  </r>
  <r>
    <x v="106"/>
    <x v="62"/>
    <x v="3"/>
    <x v="1"/>
    <x v="0"/>
    <x v="106"/>
    <s v="Cust108"/>
    <x v="2"/>
    <x v="106"/>
    <n v="9"/>
    <x v="106"/>
    <x v="21"/>
  </r>
  <r>
    <x v="107"/>
    <x v="89"/>
    <x v="0"/>
    <x v="1"/>
    <x v="0"/>
    <x v="107"/>
    <s v="Cust109"/>
    <x v="2"/>
    <x v="107"/>
    <n v="5"/>
    <x v="107"/>
    <x v="5"/>
  </r>
  <r>
    <x v="108"/>
    <x v="90"/>
    <x v="2"/>
    <x v="2"/>
    <x v="0"/>
    <x v="108"/>
    <s v="Cust110"/>
    <x v="1"/>
    <x v="108"/>
    <n v="6"/>
    <x v="108"/>
    <x v="20"/>
  </r>
  <r>
    <x v="109"/>
    <x v="91"/>
    <x v="0"/>
    <x v="0"/>
    <x v="0"/>
    <x v="109"/>
    <s v="Cust111"/>
    <x v="1"/>
    <x v="109"/>
    <n v="7"/>
    <x v="109"/>
    <x v="28"/>
  </r>
  <r>
    <x v="110"/>
    <x v="92"/>
    <x v="3"/>
    <x v="2"/>
    <x v="0"/>
    <x v="110"/>
    <s v="Cust112"/>
    <x v="1"/>
    <x v="110"/>
    <n v="1"/>
    <x v="110"/>
    <x v="9"/>
  </r>
  <r>
    <x v="111"/>
    <x v="93"/>
    <x v="0"/>
    <x v="2"/>
    <x v="0"/>
    <x v="111"/>
    <s v="Cust113"/>
    <x v="1"/>
    <x v="111"/>
    <n v="2"/>
    <x v="111"/>
    <x v="18"/>
  </r>
  <r>
    <x v="112"/>
    <x v="94"/>
    <x v="2"/>
    <x v="0"/>
    <x v="0"/>
    <x v="112"/>
    <s v="Cust114"/>
    <x v="1"/>
    <x v="112"/>
    <n v="1"/>
    <x v="112"/>
    <x v="26"/>
  </r>
  <r>
    <x v="113"/>
    <x v="95"/>
    <x v="0"/>
    <x v="0"/>
    <x v="0"/>
    <x v="113"/>
    <s v="Cust115"/>
    <x v="2"/>
    <x v="113"/>
    <n v="2"/>
    <x v="113"/>
    <x v="29"/>
  </r>
  <r>
    <x v="114"/>
    <x v="96"/>
    <x v="3"/>
    <x v="1"/>
    <x v="0"/>
    <x v="114"/>
    <s v="Cust116"/>
    <x v="0"/>
    <x v="114"/>
    <n v="1"/>
    <x v="114"/>
    <x v="26"/>
  </r>
  <r>
    <x v="115"/>
    <x v="97"/>
    <x v="0"/>
    <x v="2"/>
    <x v="0"/>
    <x v="115"/>
    <s v="Cust117"/>
    <x v="1"/>
    <x v="115"/>
    <n v="3"/>
    <x v="115"/>
    <x v="30"/>
  </r>
  <r>
    <x v="116"/>
    <x v="98"/>
    <x v="2"/>
    <x v="2"/>
    <x v="0"/>
    <x v="116"/>
    <s v="Cust118"/>
    <x v="1"/>
    <x v="116"/>
    <n v="3"/>
    <x v="116"/>
    <x v="8"/>
  </r>
  <r>
    <x v="117"/>
    <x v="99"/>
    <x v="0"/>
    <x v="2"/>
    <x v="0"/>
    <x v="117"/>
    <s v="Cust119"/>
    <x v="2"/>
    <x v="117"/>
    <n v="3"/>
    <x v="117"/>
    <x v="22"/>
  </r>
  <r>
    <x v="118"/>
    <x v="100"/>
    <x v="3"/>
    <x v="0"/>
    <x v="0"/>
    <x v="118"/>
    <s v="Cust120"/>
    <x v="1"/>
    <x v="118"/>
    <n v="1"/>
    <x v="118"/>
    <x v="17"/>
  </r>
  <r>
    <x v="119"/>
    <x v="21"/>
    <x v="0"/>
    <x v="1"/>
    <x v="0"/>
    <x v="119"/>
    <s v="Cust121"/>
    <x v="0"/>
    <x v="119"/>
    <n v="5"/>
    <x v="119"/>
    <x v="3"/>
  </r>
  <r>
    <x v="120"/>
    <x v="101"/>
    <x v="2"/>
    <x v="2"/>
    <x v="0"/>
    <x v="120"/>
    <s v="Cust122"/>
    <x v="1"/>
    <x v="120"/>
    <n v="4"/>
    <x v="120"/>
    <x v="5"/>
  </r>
  <r>
    <x v="121"/>
    <x v="102"/>
    <x v="1"/>
    <x v="2"/>
    <x v="0"/>
    <x v="121"/>
    <s v="Cust123"/>
    <x v="0"/>
    <x v="121"/>
    <n v="3"/>
    <x v="121"/>
    <x v="2"/>
  </r>
  <r>
    <x v="122"/>
    <x v="82"/>
    <x v="0"/>
    <x v="0"/>
    <x v="0"/>
    <x v="122"/>
    <s v="Cust124"/>
    <x v="0"/>
    <x v="122"/>
    <n v="1"/>
    <x v="122"/>
    <x v="18"/>
  </r>
  <r>
    <x v="123"/>
    <x v="103"/>
    <x v="2"/>
    <x v="2"/>
    <x v="0"/>
    <x v="123"/>
    <s v="Cust125"/>
    <x v="1"/>
    <x v="123"/>
    <n v="6"/>
    <x v="123"/>
    <x v="17"/>
  </r>
  <r>
    <x v="124"/>
    <x v="104"/>
    <x v="0"/>
    <x v="0"/>
    <x v="0"/>
    <x v="124"/>
    <s v="Cust126"/>
    <x v="2"/>
    <x v="124"/>
    <n v="3"/>
    <x v="124"/>
    <x v="27"/>
  </r>
  <r>
    <x v="125"/>
    <x v="24"/>
    <x v="3"/>
    <x v="0"/>
    <x v="0"/>
    <x v="125"/>
    <s v="Cust127"/>
    <x v="2"/>
    <x v="125"/>
    <n v="8"/>
    <x v="125"/>
    <x v="5"/>
  </r>
  <r>
    <x v="126"/>
    <x v="105"/>
    <x v="1"/>
    <x v="1"/>
    <x v="0"/>
    <x v="126"/>
    <s v="Cust128"/>
    <x v="0"/>
    <x v="126"/>
    <n v="2"/>
    <x v="126"/>
    <x v="9"/>
  </r>
  <r>
    <x v="127"/>
    <x v="106"/>
    <x v="3"/>
    <x v="0"/>
    <x v="0"/>
    <x v="127"/>
    <s v="Cust129"/>
    <x v="0"/>
    <x v="127"/>
    <n v="2"/>
    <x v="127"/>
    <x v="8"/>
  </r>
  <r>
    <x v="128"/>
    <x v="107"/>
    <x v="1"/>
    <x v="1"/>
    <x v="0"/>
    <x v="128"/>
    <s v="Cust130"/>
    <x v="0"/>
    <x v="128"/>
    <n v="9"/>
    <x v="128"/>
    <x v="21"/>
  </r>
  <r>
    <x v="129"/>
    <x v="108"/>
    <x v="1"/>
    <x v="2"/>
    <x v="0"/>
    <x v="129"/>
    <s v="Cust131"/>
    <x v="0"/>
    <x v="129"/>
    <n v="8"/>
    <x v="129"/>
    <x v="18"/>
  </r>
  <r>
    <x v="130"/>
    <x v="109"/>
    <x v="3"/>
    <x v="1"/>
    <x v="0"/>
    <x v="130"/>
    <s v="Cust132"/>
    <x v="2"/>
    <x v="130"/>
    <n v="2"/>
    <x v="130"/>
    <x v="17"/>
  </r>
  <r>
    <x v="131"/>
    <x v="45"/>
    <x v="0"/>
    <x v="0"/>
    <x v="0"/>
    <x v="131"/>
    <s v="Cust133"/>
    <x v="1"/>
    <x v="131"/>
    <n v="8"/>
    <x v="131"/>
    <x v="7"/>
  </r>
  <r>
    <x v="132"/>
    <x v="110"/>
    <x v="1"/>
    <x v="0"/>
    <x v="0"/>
    <x v="132"/>
    <s v="Cust134"/>
    <x v="1"/>
    <x v="132"/>
    <n v="5"/>
    <x v="132"/>
    <x v="29"/>
  </r>
  <r>
    <x v="133"/>
    <x v="111"/>
    <x v="0"/>
    <x v="1"/>
    <x v="0"/>
    <x v="133"/>
    <s v="Cust135"/>
    <x v="2"/>
    <x v="133"/>
    <n v="7"/>
    <x v="133"/>
    <x v="3"/>
  </r>
  <r>
    <x v="134"/>
    <x v="12"/>
    <x v="2"/>
    <x v="2"/>
    <x v="0"/>
    <x v="134"/>
    <s v="Cust136"/>
    <x v="0"/>
    <x v="134"/>
    <n v="6"/>
    <x v="134"/>
    <x v="30"/>
  </r>
  <r>
    <x v="135"/>
    <x v="112"/>
    <x v="2"/>
    <x v="0"/>
    <x v="0"/>
    <x v="135"/>
    <s v="Cust137"/>
    <x v="0"/>
    <x v="135"/>
    <n v="9"/>
    <x v="135"/>
    <x v="8"/>
  </r>
  <r>
    <x v="136"/>
    <x v="113"/>
    <x v="3"/>
    <x v="0"/>
    <x v="0"/>
    <x v="136"/>
    <s v="Cust138"/>
    <x v="0"/>
    <x v="136"/>
    <n v="8"/>
    <x v="136"/>
    <x v="18"/>
  </r>
  <r>
    <x v="137"/>
    <x v="114"/>
    <x v="1"/>
    <x v="2"/>
    <x v="0"/>
    <x v="137"/>
    <s v="Cust139"/>
    <x v="1"/>
    <x v="137"/>
    <n v="4"/>
    <x v="137"/>
    <x v="17"/>
  </r>
  <r>
    <x v="138"/>
    <x v="115"/>
    <x v="1"/>
    <x v="1"/>
    <x v="0"/>
    <x v="138"/>
    <s v="Cust140"/>
    <x v="0"/>
    <x v="138"/>
    <n v="5"/>
    <x v="138"/>
    <x v="6"/>
  </r>
  <r>
    <x v="139"/>
    <x v="116"/>
    <x v="2"/>
    <x v="0"/>
    <x v="0"/>
    <x v="139"/>
    <s v="Cust141"/>
    <x v="0"/>
    <x v="139"/>
    <n v="2"/>
    <x v="139"/>
    <x v="24"/>
  </r>
  <r>
    <x v="140"/>
    <x v="117"/>
    <x v="2"/>
    <x v="1"/>
    <x v="0"/>
    <x v="140"/>
    <s v="Cust142"/>
    <x v="0"/>
    <x v="140"/>
    <n v="4"/>
    <x v="140"/>
    <x v="1"/>
  </r>
  <r>
    <x v="141"/>
    <x v="118"/>
    <x v="2"/>
    <x v="1"/>
    <x v="0"/>
    <x v="141"/>
    <s v="Cust143"/>
    <x v="1"/>
    <x v="141"/>
    <n v="5"/>
    <x v="141"/>
    <x v="28"/>
  </r>
  <r>
    <x v="142"/>
    <x v="119"/>
    <x v="0"/>
    <x v="0"/>
    <x v="0"/>
    <x v="142"/>
    <s v="Cust144"/>
    <x v="2"/>
    <x v="142"/>
    <n v="8"/>
    <x v="142"/>
    <x v="13"/>
  </r>
  <r>
    <x v="143"/>
    <x v="120"/>
    <x v="0"/>
    <x v="1"/>
    <x v="0"/>
    <x v="143"/>
    <s v="Cust145"/>
    <x v="0"/>
    <x v="143"/>
    <n v="4"/>
    <x v="143"/>
    <x v="2"/>
  </r>
  <r>
    <x v="144"/>
    <x v="121"/>
    <x v="0"/>
    <x v="2"/>
    <x v="0"/>
    <x v="144"/>
    <s v="Cust146"/>
    <x v="1"/>
    <x v="144"/>
    <n v="8"/>
    <x v="144"/>
    <x v="30"/>
  </r>
  <r>
    <x v="145"/>
    <x v="67"/>
    <x v="1"/>
    <x v="2"/>
    <x v="0"/>
    <x v="145"/>
    <s v="Cust147"/>
    <x v="2"/>
    <x v="145"/>
    <n v="7"/>
    <x v="145"/>
    <x v="22"/>
  </r>
  <r>
    <x v="146"/>
    <x v="122"/>
    <x v="2"/>
    <x v="1"/>
    <x v="0"/>
    <x v="146"/>
    <s v="Cust148"/>
    <x v="2"/>
    <x v="146"/>
    <n v="4"/>
    <x v="146"/>
    <x v="21"/>
  </r>
  <r>
    <x v="147"/>
    <x v="123"/>
    <x v="2"/>
    <x v="0"/>
    <x v="0"/>
    <x v="147"/>
    <s v="Cust149"/>
    <x v="0"/>
    <x v="147"/>
    <n v="3"/>
    <x v="147"/>
    <x v="13"/>
  </r>
  <r>
    <x v="148"/>
    <x v="121"/>
    <x v="2"/>
    <x v="0"/>
    <x v="0"/>
    <x v="148"/>
    <s v="Cust150"/>
    <x v="1"/>
    <x v="148"/>
    <n v="9"/>
    <x v="148"/>
    <x v="15"/>
  </r>
  <r>
    <x v="149"/>
    <x v="41"/>
    <x v="2"/>
    <x v="0"/>
    <x v="0"/>
    <x v="149"/>
    <s v="Cust151"/>
    <x v="1"/>
    <x v="149"/>
    <n v="7"/>
    <x v="149"/>
    <x v="8"/>
  </r>
  <r>
    <x v="150"/>
    <x v="124"/>
    <x v="1"/>
    <x v="1"/>
    <x v="0"/>
    <x v="150"/>
    <s v="Cust152"/>
    <x v="2"/>
    <x v="150"/>
    <n v="6"/>
    <x v="150"/>
    <x v="8"/>
  </r>
  <r>
    <x v="151"/>
    <x v="2"/>
    <x v="2"/>
    <x v="0"/>
    <x v="0"/>
    <x v="151"/>
    <s v="Cust153"/>
    <x v="2"/>
    <x v="151"/>
    <n v="9"/>
    <x v="151"/>
    <x v="4"/>
  </r>
  <r>
    <x v="152"/>
    <x v="13"/>
    <x v="1"/>
    <x v="2"/>
    <x v="0"/>
    <x v="152"/>
    <s v="Cust154"/>
    <x v="0"/>
    <x v="152"/>
    <n v="8"/>
    <x v="152"/>
    <x v="20"/>
  </r>
  <r>
    <x v="153"/>
    <x v="125"/>
    <x v="2"/>
    <x v="1"/>
    <x v="0"/>
    <x v="153"/>
    <s v="Cust155"/>
    <x v="1"/>
    <x v="153"/>
    <n v="6"/>
    <x v="153"/>
    <x v="17"/>
  </r>
  <r>
    <x v="154"/>
    <x v="126"/>
    <x v="3"/>
    <x v="2"/>
    <x v="0"/>
    <x v="154"/>
    <s v="Cust156"/>
    <x v="0"/>
    <x v="154"/>
    <n v="10"/>
    <x v="154"/>
    <x v="12"/>
  </r>
  <r>
    <x v="155"/>
    <x v="83"/>
    <x v="0"/>
    <x v="1"/>
    <x v="0"/>
    <x v="155"/>
    <s v="Cust157"/>
    <x v="0"/>
    <x v="155"/>
    <n v="8"/>
    <x v="155"/>
    <x v="11"/>
  </r>
  <r>
    <x v="156"/>
    <x v="127"/>
    <x v="3"/>
    <x v="1"/>
    <x v="0"/>
    <x v="156"/>
    <s v="Cust158"/>
    <x v="0"/>
    <x v="156"/>
    <n v="4"/>
    <x v="156"/>
    <x v="27"/>
  </r>
  <r>
    <x v="157"/>
    <x v="128"/>
    <x v="3"/>
    <x v="0"/>
    <x v="0"/>
    <x v="157"/>
    <s v="Cust159"/>
    <x v="0"/>
    <x v="157"/>
    <n v="8"/>
    <x v="157"/>
    <x v="25"/>
  </r>
  <r>
    <x v="158"/>
    <x v="129"/>
    <x v="1"/>
    <x v="1"/>
    <x v="0"/>
    <x v="158"/>
    <s v="Cust160"/>
    <x v="2"/>
    <x v="158"/>
    <n v="5"/>
    <x v="158"/>
    <x v="14"/>
  </r>
  <r>
    <x v="159"/>
    <x v="130"/>
    <x v="0"/>
    <x v="1"/>
    <x v="0"/>
    <x v="159"/>
    <s v="Cust161"/>
    <x v="1"/>
    <x v="159"/>
    <n v="8"/>
    <x v="159"/>
    <x v="0"/>
  </r>
  <r>
    <x v="160"/>
    <x v="125"/>
    <x v="2"/>
    <x v="2"/>
    <x v="0"/>
    <x v="160"/>
    <s v="Cust162"/>
    <x v="0"/>
    <x v="160"/>
    <n v="1"/>
    <x v="160"/>
    <x v="26"/>
  </r>
  <r>
    <x v="161"/>
    <x v="131"/>
    <x v="0"/>
    <x v="2"/>
    <x v="0"/>
    <x v="161"/>
    <s v="Cust163"/>
    <x v="2"/>
    <x v="161"/>
    <n v="2"/>
    <x v="161"/>
    <x v="15"/>
  </r>
  <r>
    <x v="162"/>
    <x v="132"/>
    <x v="3"/>
    <x v="2"/>
    <x v="0"/>
    <x v="162"/>
    <s v="Cust164"/>
    <x v="0"/>
    <x v="162"/>
    <n v="10"/>
    <x v="162"/>
    <x v="25"/>
  </r>
  <r>
    <x v="163"/>
    <x v="133"/>
    <x v="1"/>
    <x v="1"/>
    <x v="0"/>
    <x v="163"/>
    <s v="Cust165"/>
    <x v="0"/>
    <x v="163"/>
    <n v="7"/>
    <x v="163"/>
    <x v="30"/>
  </r>
  <r>
    <x v="164"/>
    <x v="66"/>
    <x v="3"/>
    <x v="1"/>
    <x v="0"/>
    <x v="164"/>
    <s v="Cust166"/>
    <x v="2"/>
    <x v="164"/>
    <n v="1"/>
    <x v="164"/>
    <x v="11"/>
  </r>
  <r>
    <x v="165"/>
    <x v="134"/>
    <x v="0"/>
    <x v="0"/>
    <x v="0"/>
    <x v="165"/>
    <s v="Cust167"/>
    <x v="0"/>
    <x v="165"/>
    <n v="9"/>
    <x v="165"/>
    <x v="13"/>
  </r>
  <r>
    <x v="166"/>
    <x v="135"/>
    <x v="0"/>
    <x v="0"/>
    <x v="0"/>
    <x v="166"/>
    <s v="Cust168"/>
    <x v="0"/>
    <x v="166"/>
    <n v="1"/>
    <x v="166"/>
    <x v="30"/>
  </r>
  <r>
    <x v="167"/>
    <x v="136"/>
    <x v="2"/>
    <x v="2"/>
    <x v="0"/>
    <x v="167"/>
    <s v="Cust169"/>
    <x v="0"/>
    <x v="167"/>
    <n v="3"/>
    <x v="167"/>
    <x v="0"/>
  </r>
  <r>
    <x v="168"/>
    <x v="137"/>
    <x v="2"/>
    <x v="0"/>
    <x v="0"/>
    <x v="168"/>
    <s v="Cust170"/>
    <x v="0"/>
    <x v="168"/>
    <n v="1"/>
    <x v="168"/>
    <x v="30"/>
  </r>
  <r>
    <x v="169"/>
    <x v="138"/>
    <x v="1"/>
    <x v="2"/>
    <x v="0"/>
    <x v="169"/>
    <s v="Cust171"/>
    <x v="1"/>
    <x v="169"/>
    <n v="6"/>
    <x v="169"/>
    <x v="0"/>
  </r>
  <r>
    <x v="170"/>
    <x v="55"/>
    <x v="2"/>
    <x v="0"/>
    <x v="0"/>
    <x v="170"/>
    <s v="Cust172"/>
    <x v="1"/>
    <x v="170"/>
    <n v="4"/>
    <x v="170"/>
    <x v="27"/>
  </r>
  <r>
    <x v="171"/>
    <x v="139"/>
    <x v="2"/>
    <x v="2"/>
    <x v="0"/>
    <x v="171"/>
    <s v="Cust173"/>
    <x v="2"/>
    <x v="171"/>
    <n v="8"/>
    <x v="171"/>
    <x v="4"/>
  </r>
  <r>
    <x v="172"/>
    <x v="140"/>
    <x v="0"/>
    <x v="1"/>
    <x v="0"/>
    <x v="172"/>
    <s v="Cust174"/>
    <x v="0"/>
    <x v="172"/>
    <n v="8"/>
    <x v="172"/>
    <x v="1"/>
  </r>
  <r>
    <x v="173"/>
    <x v="141"/>
    <x v="1"/>
    <x v="2"/>
    <x v="0"/>
    <x v="173"/>
    <s v="Cust175"/>
    <x v="0"/>
    <x v="173"/>
    <n v="2"/>
    <x v="173"/>
    <x v="21"/>
  </r>
  <r>
    <x v="174"/>
    <x v="142"/>
    <x v="1"/>
    <x v="0"/>
    <x v="0"/>
    <x v="174"/>
    <s v="Cust176"/>
    <x v="0"/>
    <x v="174"/>
    <n v="3"/>
    <x v="174"/>
    <x v="20"/>
  </r>
  <r>
    <x v="175"/>
    <x v="25"/>
    <x v="2"/>
    <x v="1"/>
    <x v="0"/>
    <x v="175"/>
    <s v="Cust177"/>
    <x v="0"/>
    <x v="175"/>
    <n v="10"/>
    <x v="175"/>
    <x v="29"/>
  </r>
  <r>
    <x v="176"/>
    <x v="143"/>
    <x v="3"/>
    <x v="0"/>
    <x v="0"/>
    <x v="176"/>
    <s v="Cust178"/>
    <x v="0"/>
    <x v="176"/>
    <n v="9"/>
    <x v="176"/>
    <x v="0"/>
  </r>
  <r>
    <x v="177"/>
    <x v="33"/>
    <x v="1"/>
    <x v="2"/>
    <x v="0"/>
    <x v="177"/>
    <s v="Cust179"/>
    <x v="0"/>
    <x v="177"/>
    <n v="10"/>
    <x v="177"/>
    <x v="30"/>
  </r>
  <r>
    <x v="178"/>
    <x v="144"/>
    <x v="0"/>
    <x v="0"/>
    <x v="0"/>
    <x v="178"/>
    <s v="Cust180"/>
    <x v="1"/>
    <x v="178"/>
    <n v="2"/>
    <x v="178"/>
    <x v="13"/>
  </r>
  <r>
    <x v="179"/>
    <x v="145"/>
    <x v="1"/>
    <x v="2"/>
    <x v="0"/>
    <x v="179"/>
    <s v="Cust181"/>
    <x v="0"/>
    <x v="179"/>
    <n v="7"/>
    <x v="179"/>
    <x v="2"/>
  </r>
  <r>
    <x v="180"/>
    <x v="146"/>
    <x v="0"/>
    <x v="2"/>
    <x v="0"/>
    <x v="180"/>
    <s v="Cust182"/>
    <x v="0"/>
    <x v="180"/>
    <n v="7"/>
    <x v="180"/>
    <x v="8"/>
  </r>
  <r>
    <x v="181"/>
    <x v="147"/>
    <x v="0"/>
    <x v="1"/>
    <x v="0"/>
    <x v="181"/>
    <s v="Cust183"/>
    <x v="2"/>
    <x v="181"/>
    <n v="6"/>
    <x v="181"/>
    <x v="27"/>
  </r>
  <r>
    <x v="182"/>
    <x v="8"/>
    <x v="3"/>
    <x v="2"/>
    <x v="0"/>
    <x v="182"/>
    <s v="Cust184"/>
    <x v="0"/>
    <x v="182"/>
    <n v="6"/>
    <x v="182"/>
    <x v="21"/>
  </r>
  <r>
    <x v="183"/>
    <x v="148"/>
    <x v="1"/>
    <x v="2"/>
    <x v="0"/>
    <x v="183"/>
    <s v="Cust185"/>
    <x v="2"/>
    <x v="28"/>
    <n v="6"/>
    <x v="183"/>
    <x v="20"/>
  </r>
  <r>
    <x v="184"/>
    <x v="149"/>
    <x v="1"/>
    <x v="1"/>
    <x v="0"/>
    <x v="184"/>
    <s v="Cust186"/>
    <x v="2"/>
    <x v="183"/>
    <n v="8"/>
    <x v="184"/>
    <x v="6"/>
  </r>
  <r>
    <x v="185"/>
    <x v="150"/>
    <x v="2"/>
    <x v="0"/>
    <x v="0"/>
    <x v="185"/>
    <s v="Cust187"/>
    <x v="1"/>
    <x v="184"/>
    <n v="4"/>
    <x v="185"/>
    <x v="6"/>
  </r>
  <r>
    <x v="186"/>
    <x v="151"/>
    <x v="2"/>
    <x v="2"/>
    <x v="0"/>
    <x v="186"/>
    <s v="Cust188"/>
    <x v="1"/>
    <x v="185"/>
    <n v="4"/>
    <x v="186"/>
    <x v="2"/>
  </r>
  <r>
    <x v="187"/>
    <x v="80"/>
    <x v="0"/>
    <x v="1"/>
    <x v="0"/>
    <x v="187"/>
    <s v="Cust189"/>
    <x v="1"/>
    <x v="186"/>
    <n v="6"/>
    <x v="187"/>
    <x v="21"/>
  </r>
  <r>
    <x v="188"/>
    <x v="152"/>
    <x v="2"/>
    <x v="1"/>
    <x v="0"/>
    <x v="188"/>
    <s v="Cust190"/>
    <x v="2"/>
    <x v="187"/>
    <n v="2"/>
    <x v="188"/>
    <x v="12"/>
  </r>
  <r>
    <x v="189"/>
    <x v="153"/>
    <x v="2"/>
    <x v="1"/>
    <x v="0"/>
    <x v="189"/>
    <s v="Cust191"/>
    <x v="2"/>
    <x v="188"/>
    <n v="3"/>
    <x v="189"/>
    <x v="13"/>
  </r>
  <r>
    <x v="190"/>
    <x v="154"/>
    <x v="2"/>
    <x v="2"/>
    <x v="0"/>
    <x v="190"/>
    <s v="Cust192"/>
    <x v="1"/>
    <x v="189"/>
    <n v="5"/>
    <x v="190"/>
    <x v="13"/>
  </r>
  <r>
    <x v="191"/>
    <x v="155"/>
    <x v="1"/>
    <x v="1"/>
    <x v="0"/>
    <x v="191"/>
    <s v="Cust193"/>
    <x v="1"/>
    <x v="190"/>
    <n v="2"/>
    <x v="191"/>
    <x v="18"/>
  </r>
  <r>
    <x v="192"/>
    <x v="17"/>
    <x v="1"/>
    <x v="1"/>
    <x v="0"/>
    <x v="192"/>
    <s v="Cust194"/>
    <x v="0"/>
    <x v="191"/>
    <n v="3"/>
    <x v="192"/>
    <x v="0"/>
  </r>
  <r>
    <x v="193"/>
    <x v="59"/>
    <x v="3"/>
    <x v="2"/>
    <x v="0"/>
    <x v="193"/>
    <s v="Cust195"/>
    <x v="0"/>
    <x v="192"/>
    <n v="2"/>
    <x v="193"/>
    <x v="2"/>
  </r>
  <r>
    <x v="194"/>
    <x v="77"/>
    <x v="0"/>
    <x v="0"/>
    <x v="0"/>
    <x v="194"/>
    <s v="Cust196"/>
    <x v="0"/>
    <x v="193"/>
    <n v="9"/>
    <x v="194"/>
    <x v="20"/>
  </r>
  <r>
    <x v="195"/>
    <x v="156"/>
    <x v="1"/>
    <x v="0"/>
    <x v="0"/>
    <x v="195"/>
    <s v="Cust197"/>
    <x v="0"/>
    <x v="194"/>
    <n v="10"/>
    <x v="195"/>
    <x v="29"/>
  </r>
  <r>
    <x v="196"/>
    <x v="70"/>
    <x v="0"/>
    <x v="1"/>
    <x v="0"/>
    <x v="196"/>
    <s v="Cust198"/>
    <x v="2"/>
    <x v="195"/>
    <n v="6"/>
    <x v="196"/>
    <x v="30"/>
  </r>
  <r>
    <x v="197"/>
    <x v="54"/>
    <x v="3"/>
    <x v="0"/>
    <x v="0"/>
    <x v="197"/>
    <s v="Cust199"/>
    <x v="2"/>
    <x v="196"/>
    <n v="2"/>
    <x v="197"/>
    <x v="26"/>
  </r>
  <r>
    <x v="198"/>
    <x v="137"/>
    <x v="2"/>
    <x v="1"/>
    <x v="0"/>
    <x v="198"/>
    <s v="Cust200"/>
    <x v="1"/>
    <x v="197"/>
    <n v="3"/>
    <x v="198"/>
    <x v="29"/>
  </r>
  <r>
    <x v="199"/>
    <x v="157"/>
    <x v="3"/>
    <x v="1"/>
    <x v="0"/>
    <x v="199"/>
    <s v="Cust201"/>
    <x v="1"/>
    <x v="198"/>
    <n v="6"/>
    <x v="199"/>
    <x v="4"/>
  </r>
  <r>
    <x v="200"/>
    <x v="33"/>
    <x v="2"/>
    <x v="1"/>
    <x v="0"/>
    <x v="200"/>
    <s v="Cust202"/>
    <x v="0"/>
    <x v="199"/>
    <n v="4"/>
    <x v="200"/>
    <x v="8"/>
  </r>
  <r>
    <x v="201"/>
    <x v="158"/>
    <x v="1"/>
    <x v="0"/>
    <x v="0"/>
    <x v="201"/>
    <s v="Cust203"/>
    <x v="0"/>
    <x v="200"/>
    <n v="3"/>
    <x v="201"/>
    <x v="16"/>
  </r>
  <r>
    <x v="202"/>
    <x v="15"/>
    <x v="2"/>
    <x v="2"/>
    <x v="0"/>
    <x v="202"/>
    <s v="Cust204"/>
    <x v="2"/>
    <x v="201"/>
    <n v="3"/>
    <x v="202"/>
    <x v="10"/>
  </r>
  <r>
    <x v="203"/>
    <x v="159"/>
    <x v="3"/>
    <x v="2"/>
    <x v="0"/>
    <x v="203"/>
    <s v="Cust205"/>
    <x v="2"/>
    <x v="202"/>
    <n v="7"/>
    <x v="203"/>
    <x v="21"/>
  </r>
  <r>
    <x v="204"/>
    <x v="160"/>
    <x v="1"/>
    <x v="2"/>
    <x v="0"/>
    <x v="204"/>
    <s v="Cust206"/>
    <x v="0"/>
    <x v="203"/>
    <n v="8"/>
    <x v="204"/>
    <x v="22"/>
  </r>
  <r>
    <x v="205"/>
    <x v="161"/>
    <x v="0"/>
    <x v="0"/>
    <x v="0"/>
    <x v="205"/>
    <s v="Cust207"/>
    <x v="2"/>
    <x v="204"/>
    <n v="2"/>
    <x v="205"/>
    <x v="15"/>
  </r>
  <r>
    <x v="206"/>
    <x v="162"/>
    <x v="3"/>
    <x v="2"/>
    <x v="0"/>
    <x v="206"/>
    <s v="Cust208"/>
    <x v="1"/>
    <x v="205"/>
    <n v="4"/>
    <x v="206"/>
    <x v="8"/>
  </r>
  <r>
    <x v="207"/>
    <x v="27"/>
    <x v="2"/>
    <x v="2"/>
    <x v="0"/>
    <x v="207"/>
    <s v="Cust209"/>
    <x v="1"/>
    <x v="206"/>
    <n v="4"/>
    <x v="207"/>
    <x v="4"/>
  </r>
  <r>
    <x v="208"/>
    <x v="41"/>
    <x v="2"/>
    <x v="2"/>
    <x v="0"/>
    <x v="208"/>
    <s v="Cust210"/>
    <x v="1"/>
    <x v="207"/>
    <n v="10"/>
    <x v="208"/>
    <x v="16"/>
  </r>
  <r>
    <x v="209"/>
    <x v="104"/>
    <x v="1"/>
    <x v="2"/>
    <x v="0"/>
    <x v="209"/>
    <s v="Cust211"/>
    <x v="1"/>
    <x v="208"/>
    <n v="1"/>
    <x v="209"/>
    <x v="16"/>
  </r>
  <r>
    <x v="210"/>
    <x v="154"/>
    <x v="1"/>
    <x v="0"/>
    <x v="0"/>
    <x v="210"/>
    <s v="Cust212"/>
    <x v="1"/>
    <x v="209"/>
    <n v="4"/>
    <x v="210"/>
    <x v="30"/>
  </r>
  <r>
    <x v="211"/>
    <x v="67"/>
    <x v="0"/>
    <x v="1"/>
    <x v="0"/>
    <x v="211"/>
    <s v="Cust213"/>
    <x v="0"/>
    <x v="210"/>
    <n v="10"/>
    <x v="211"/>
    <x v="2"/>
  </r>
  <r>
    <x v="212"/>
    <x v="163"/>
    <x v="2"/>
    <x v="0"/>
    <x v="0"/>
    <x v="212"/>
    <s v="Cust214"/>
    <x v="0"/>
    <x v="211"/>
    <n v="5"/>
    <x v="212"/>
    <x v="6"/>
  </r>
  <r>
    <x v="213"/>
    <x v="66"/>
    <x v="1"/>
    <x v="0"/>
    <x v="0"/>
    <x v="213"/>
    <s v="Cust215"/>
    <x v="2"/>
    <x v="212"/>
    <n v="4"/>
    <x v="213"/>
    <x v="0"/>
  </r>
  <r>
    <x v="214"/>
    <x v="134"/>
    <x v="3"/>
    <x v="0"/>
    <x v="0"/>
    <x v="214"/>
    <s v="Cust216"/>
    <x v="2"/>
    <x v="213"/>
    <n v="7"/>
    <x v="214"/>
    <x v="26"/>
  </r>
  <r>
    <x v="215"/>
    <x v="145"/>
    <x v="2"/>
    <x v="2"/>
    <x v="0"/>
    <x v="215"/>
    <s v="Cust217"/>
    <x v="1"/>
    <x v="214"/>
    <n v="8"/>
    <x v="215"/>
    <x v="4"/>
  </r>
  <r>
    <x v="216"/>
    <x v="72"/>
    <x v="2"/>
    <x v="1"/>
    <x v="0"/>
    <x v="216"/>
    <s v="Cust218"/>
    <x v="1"/>
    <x v="215"/>
    <n v="9"/>
    <x v="216"/>
    <x v="10"/>
  </r>
  <r>
    <x v="217"/>
    <x v="162"/>
    <x v="1"/>
    <x v="2"/>
    <x v="0"/>
    <x v="217"/>
    <s v="Cust219"/>
    <x v="1"/>
    <x v="216"/>
    <n v="2"/>
    <x v="217"/>
    <x v="12"/>
  </r>
  <r>
    <x v="218"/>
    <x v="164"/>
    <x v="1"/>
    <x v="1"/>
    <x v="0"/>
    <x v="218"/>
    <s v="Cust220"/>
    <x v="1"/>
    <x v="217"/>
    <n v="2"/>
    <x v="218"/>
    <x v="10"/>
  </r>
  <r>
    <x v="219"/>
    <x v="165"/>
    <x v="2"/>
    <x v="2"/>
    <x v="0"/>
    <x v="219"/>
    <s v="Cust221"/>
    <x v="0"/>
    <x v="218"/>
    <n v="8"/>
    <x v="219"/>
    <x v="27"/>
  </r>
  <r>
    <x v="220"/>
    <x v="166"/>
    <x v="2"/>
    <x v="0"/>
    <x v="0"/>
    <x v="220"/>
    <s v="Cust222"/>
    <x v="0"/>
    <x v="219"/>
    <n v="4"/>
    <x v="220"/>
    <x v="15"/>
  </r>
  <r>
    <x v="221"/>
    <x v="87"/>
    <x v="3"/>
    <x v="1"/>
    <x v="0"/>
    <x v="221"/>
    <s v="Cust223"/>
    <x v="0"/>
    <x v="220"/>
    <n v="1"/>
    <x v="221"/>
    <x v="25"/>
  </r>
  <r>
    <x v="222"/>
    <x v="79"/>
    <x v="3"/>
    <x v="0"/>
    <x v="0"/>
    <x v="222"/>
    <s v="Cust224"/>
    <x v="1"/>
    <x v="221"/>
    <n v="2"/>
    <x v="222"/>
    <x v="27"/>
  </r>
  <r>
    <x v="223"/>
    <x v="71"/>
    <x v="3"/>
    <x v="0"/>
    <x v="0"/>
    <x v="223"/>
    <s v="Cust225"/>
    <x v="1"/>
    <x v="222"/>
    <n v="1"/>
    <x v="223"/>
    <x v="24"/>
  </r>
  <r>
    <x v="224"/>
    <x v="1"/>
    <x v="2"/>
    <x v="2"/>
    <x v="0"/>
    <x v="224"/>
    <s v="Cust226"/>
    <x v="1"/>
    <x v="223"/>
    <n v="8"/>
    <x v="224"/>
    <x v="7"/>
  </r>
  <r>
    <x v="225"/>
    <x v="167"/>
    <x v="2"/>
    <x v="0"/>
    <x v="0"/>
    <x v="225"/>
    <s v="Cust227"/>
    <x v="0"/>
    <x v="224"/>
    <n v="5"/>
    <x v="225"/>
    <x v="9"/>
  </r>
  <r>
    <x v="226"/>
    <x v="80"/>
    <x v="2"/>
    <x v="2"/>
    <x v="0"/>
    <x v="226"/>
    <s v="Cust228"/>
    <x v="1"/>
    <x v="225"/>
    <n v="9"/>
    <x v="226"/>
    <x v="25"/>
  </r>
  <r>
    <x v="227"/>
    <x v="168"/>
    <x v="0"/>
    <x v="1"/>
    <x v="0"/>
    <x v="227"/>
    <s v="Cust229"/>
    <x v="1"/>
    <x v="226"/>
    <n v="9"/>
    <x v="227"/>
    <x v="27"/>
  </r>
  <r>
    <x v="228"/>
    <x v="128"/>
    <x v="3"/>
    <x v="2"/>
    <x v="0"/>
    <x v="228"/>
    <s v="Cust230"/>
    <x v="0"/>
    <x v="227"/>
    <n v="1"/>
    <x v="228"/>
    <x v="17"/>
  </r>
  <r>
    <x v="229"/>
    <x v="169"/>
    <x v="1"/>
    <x v="1"/>
    <x v="0"/>
    <x v="229"/>
    <s v="Cust231"/>
    <x v="2"/>
    <x v="228"/>
    <n v="5"/>
    <x v="229"/>
    <x v="20"/>
  </r>
  <r>
    <x v="230"/>
    <x v="45"/>
    <x v="2"/>
    <x v="2"/>
    <x v="0"/>
    <x v="230"/>
    <s v="Cust232"/>
    <x v="2"/>
    <x v="229"/>
    <n v="8"/>
    <x v="230"/>
    <x v="14"/>
  </r>
  <r>
    <x v="231"/>
    <x v="110"/>
    <x v="3"/>
    <x v="0"/>
    <x v="0"/>
    <x v="231"/>
    <s v="Cust233"/>
    <x v="1"/>
    <x v="230"/>
    <n v="1"/>
    <x v="231"/>
    <x v="9"/>
  </r>
  <r>
    <x v="232"/>
    <x v="157"/>
    <x v="2"/>
    <x v="1"/>
    <x v="0"/>
    <x v="232"/>
    <s v="Cust234"/>
    <x v="1"/>
    <x v="231"/>
    <n v="5"/>
    <x v="232"/>
    <x v="5"/>
  </r>
  <r>
    <x v="233"/>
    <x v="39"/>
    <x v="2"/>
    <x v="2"/>
    <x v="0"/>
    <x v="233"/>
    <s v="Cust235"/>
    <x v="0"/>
    <x v="232"/>
    <n v="5"/>
    <x v="233"/>
    <x v="26"/>
  </r>
  <r>
    <x v="234"/>
    <x v="80"/>
    <x v="0"/>
    <x v="1"/>
    <x v="0"/>
    <x v="234"/>
    <s v="Cust236"/>
    <x v="0"/>
    <x v="233"/>
    <n v="5"/>
    <x v="234"/>
    <x v="6"/>
  </r>
  <r>
    <x v="235"/>
    <x v="90"/>
    <x v="0"/>
    <x v="0"/>
    <x v="0"/>
    <x v="235"/>
    <s v="Cust237"/>
    <x v="0"/>
    <x v="234"/>
    <n v="5"/>
    <x v="235"/>
    <x v="25"/>
  </r>
  <r>
    <x v="236"/>
    <x v="170"/>
    <x v="0"/>
    <x v="2"/>
    <x v="0"/>
    <x v="236"/>
    <s v="Cust238"/>
    <x v="0"/>
    <x v="235"/>
    <n v="4"/>
    <x v="236"/>
    <x v="12"/>
  </r>
  <r>
    <x v="237"/>
    <x v="134"/>
    <x v="1"/>
    <x v="2"/>
    <x v="0"/>
    <x v="237"/>
    <s v="Cust239"/>
    <x v="2"/>
    <x v="236"/>
    <n v="9"/>
    <x v="237"/>
    <x v="23"/>
  </r>
  <r>
    <x v="238"/>
    <x v="127"/>
    <x v="1"/>
    <x v="2"/>
    <x v="0"/>
    <x v="238"/>
    <s v="Cust240"/>
    <x v="2"/>
    <x v="237"/>
    <n v="5"/>
    <x v="238"/>
    <x v="27"/>
  </r>
  <r>
    <x v="239"/>
    <x v="157"/>
    <x v="1"/>
    <x v="1"/>
    <x v="0"/>
    <x v="239"/>
    <s v="Cust241"/>
    <x v="0"/>
    <x v="238"/>
    <n v="10"/>
    <x v="239"/>
    <x v="26"/>
  </r>
  <r>
    <x v="240"/>
    <x v="171"/>
    <x v="1"/>
    <x v="1"/>
    <x v="0"/>
    <x v="240"/>
    <s v="Cust242"/>
    <x v="1"/>
    <x v="239"/>
    <n v="8"/>
    <x v="240"/>
    <x v="12"/>
  </r>
  <r>
    <x v="241"/>
    <x v="172"/>
    <x v="0"/>
    <x v="1"/>
    <x v="0"/>
    <x v="241"/>
    <s v="Cust243"/>
    <x v="0"/>
    <x v="240"/>
    <n v="6"/>
    <x v="241"/>
    <x v="3"/>
  </r>
  <r>
    <x v="242"/>
    <x v="106"/>
    <x v="1"/>
    <x v="1"/>
    <x v="0"/>
    <x v="242"/>
    <s v="Cust244"/>
    <x v="2"/>
    <x v="241"/>
    <n v="2"/>
    <x v="242"/>
    <x v="20"/>
  </r>
  <r>
    <x v="243"/>
    <x v="143"/>
    <x v="0"/>
    <x v="1"/>
    <x v="0"/>
    <x v="243"/>
    <s v="Cust245"/>
    <x v="1"/>
    <x v="242"/>
    <n v="10"/>
    <x v="243"/>
    <x v="22"/>
  </r>
  <r>
    <x v="244"/>
    <x v="102"/>
    <x v="1"/>
    <x v="0"/>
    <x v="0"/>
    <x v="244"/>
    <s v="Cust246"/>
    <x v="1"/>
    <x v="243"/>
    <n v="3"/>
    <x v="244"/>
    <x v="10"/>
  </r>
  <r>
    <x v="245"/>
    <x v="107"/>
    <x v="1"/>
    <x v="1"/>
    <x v="0"/>
    <x v="245"/>
    <s v="Cust247"/>
    <x v="0"/>
    <x v="244"/>
    <n v="3"/>
    <x v="245"/>
    <x v="16"/>
  </r>
  <r>
    <x v="246"/>
    <x v="29"/>
    <x v="2"/>
    <x v="2"/>
    <x v="0"/>
    <x v="246"/>
    <s v="Cust248"/>
    <x v="0"/>
    <x v="245"/>
    <n v="2"/>
    <x v="246"/>
    <x v="7"/>
  </r>
  <r>
    <x v="247"/>
    <x v="74"/>
    <x v="2"/>
    <x v="0"/>
    <x v="0"/>
    <x v="247"/>
    <s v="Cust249"/>
    <x v="1"/>
    <x v="246"/>
    <n v="5"/>
    <x v="247"/>
    <x v="27"/>
  </r>
  <r>
    <x v="248"/>
    <x v="173"/>
    <x v="0"/>
    <x v="0"/>
    <x v="0"/>
    <x v="248"/>
    <s v="Cust250"/>
    <x v="2"/>
    <x v="247"/>
    <n v="3"/>
    <x v="248"/>
    <x v="0"/>
  </r>
  <r>
    <x v="249"/>
    <x v="174"/>
    <x v="3"/>
    <x v="2"/>
    <x v="0"/>
    <x v="249"/>
    <s v="Cust251"/>
    <x v="2"/>
    <x v="248"/>
    <n v="3"/>
    <x v="249"/>
    <x v="26"/>
  </r>
  <r>
    <x v="250"/>
    <x v="138"/>
    <x v="3"/>
    <x v="0"/>
    <x v="0"/>
    <x v="250"/>
    <s v="Cust252"/>
    <x v="0"/>
    <x v="249"/>
    <n v="8"/>
    <x v="250"/>
    <x v="9"/>
  </r>
  <r>
    <x v="251"/>
    <x v="175"/>
    <x v="1"/>
    <x v="1"/>
    <x v="0"/>
    <x v="251"/>
    <s v="Cust253"/>
    <x v="2"/>
    <x v="250"/>
    <n v="10"/>
    <x v="251"/>
    <x v="26"/>
  </r>
  <r>
    <x v="252"/>
    <x v="166"/>
    <x v="0"/>
    <x v="2"/>
    <x v="0"/>
    <x v="252"/>
    <s v="Cust254"/>
    <x v="2"/>
    <x v="251"/>
    <n v="7"/>
    <x v="252"/>
    <x v="10"/>
  </r>
  <r>
    <x v="253"/>
    <x v="176"/>
    <x v="2"/>
    <x v="0"/>
    <x v="0"/>
    <x v="253"/>
    <s v="Cust255"/>
    <x v="1"/>
    <x v="252"/>
    <n v="6"/>
    <x v="253"/>
    <x v="20"/>
  </r>
  <r>
    <x v="254"/>
    <x v="177"/>
    <x v="3"/>
    <x v="2"/>
    <x v="0"/>
    <x v="254"/>
    <s v="Cust256"/>
    <x v="1"/>
    <x v="253"/>
    <n v="8"/>
    <x v="254"/>
    <x v="26"/>
  </r>
  <r>
    <x v="255"/>
    <x v="178"/>
    <x v="1"/>
    <x v="2"/>
    <x v="0"/>
    <x v="255"/>
    <s v="Cust257"/>
    <x v="0"/>
    <x v="254"/>
    <n v="1"/>
    <x v="255"/>
    <x v="29"/>
  </r>
  <r>
    <x v="256"/>
    <x v="154"/>
    <x v="2"/>
    <x v="0"/>
    <x v="0"/>
    <x v="256"/>
    <s v="Cust258"/>
    <x v="1"/>
    <x v="255"/>
    <n v="1"/>
    <x v="256"/>
    <x v="21"/>
  </r>
  <r>
    <x v="257"/>
    <x v="26"/>
    <x v="3"/>
    <x v="1"/>
    <x v="0"/>
    <x v="257"/>
    <s v="Cust259"/>
    <x v="2"/>
    <x v="256"/>
    <n v="8"/>
    <x v="257"/>
    <x v="10"/>
  </r>
  <r>
    <x v="258"/>
    <x v="179"/>
    <x v="1"/>
    <x v="0"/>
    <x v="0"/>
    <x v="258"/>
    <s v="Cust260"/>
    <x v="1"/>
    <x v="257"/>
    <n v="6"/>
    <x v="258"/>
    <x v="4"/>
  </r>
  <r>
    <x v="259"/>
    <x v="180"/>
    <x v="2"/>
    <x v="2"/>
    <x v="0"/>
    <x v="259"/>
    <s v="Cust261"/>
    <x v="1"/>
    <x v="258"/>
    <n v="9"/>
    <x v="259"/>
    <x v="16"/>
  </r>
  <r>
    <x v="260"/>
    <x v="181"/>
    <x v="2"/>
    <x v="2"/>
    <x v="0"/>
    <x v="260"/>
    <s v="Cust262"/>
    <x v="2"/>
    <x v="259"/>
    <n v="3"/>
    <x v="260"/>
    <x v="8"/>
  </r>
  <r>
    <x v="261"/>
    <x v="182"/>
    <x v="0"/>
    <x v="1"/>
    <x v="0"/>
    <x v="261"/>
    <s v="Cust263"/>
    <x v="1"/>
    <x v="260"/>
    <n v="2"/>
    <x v="261"/>
    <x v="27"/>
  </r>
  <r>
    <x v="262"/>
    <x v="183"/>
    <x v="1"/>
    <x v="1"/>
    <x v="0"/>
    <x v="262"/>
    <s v="Cust264"/>
    <x v="0"/>
    <x v="261"/>
    <n v="2"/>
    <x v="262"/>
    <x v="13"/>
  </r>
  <r>
    <x v="263"/>
    <x v="23"/>
    <x v="0"/>
    <x v="1"/>
    <x v="0"/>
    <x v="263"/>
    <s v="Cust265"/>
    <x v="1"/>
    <x v="262"/>
    <n v="7"/>
    <x v="263"/>
    <x v="9"/>
  </r>
  <r>
    <x v="264"/>
    <x v="111"/>
    <x v="1"/>
    <x v="0"/>
    <x v="0"/>
    <x v="264"/>
    <s v="Cust266"/>
    <x v="0"/>
    <x v="263"/>
    <n v="10"/>
    <x v="264"/>
    <x v="18"/>
  </r>
  <r>
    <x v="265"/>
    <x v="184"/>
    <x v="3"/>
    <x v="1"/>
    <x v="0"/>
    <x v="265"/>
    <s v="Cust267"/>
    <x v="2"/>
    <x v="264"/>
    <n v="5"/>
    <x v="265"/>
    <x v="12"/>
  </r>
  <r>
    <x v="266"/>
    <x v="119"/>
    <x v="2"/>
    <x v="0"/>
    <x v="0"/>
    <x v="266"/>
    <s v="Cust268"/>
    <x v="1"/>
    <x v="265"/>
    <n v="9"/>
    <x v="266"/>
    <x v="0"/>
  </r>
  <r>
    <x v="267"/>
    <x v="185"/>
    <x v="3"/>
    <x v="0"/>
    <x v="0"/>
    <x v="267"/>
    <s v="Cust269"/>
    <x v="0"/>
    <x v="266"/>
    <n v="4"/>
    <x v="267"/>
    <x v="8"/>
  </r>
  <r>
    <x v="268"/>
    <x v="57"/>
    <x v="0"/>
    <x v="1"/>
    <x v="0"/>
    <x v="268"/>
    <s v="Cust270"/>
    <x v="0"/>
    <x v="267"/>
    <n v="3"/>
    <x v="268"/>
    <x v="12"/>
  </r>
  <r>
    <x v="269"/>
    <x v="186"/>
    <x v="2"/>
    <x v="2"/>
    <x v="0"/>
    <x v="269"/>
    <s v="Cust271"/>
    <x v="2"/>
    <x v="268"/>
    <n v="4"/>
    <x v="269"/>
    <x v="19"/>
  </r>
  <r>
    <x v="270"/>
    <x v="12"/>
    <x v="0"/>
    <x v="0"/>
    <x v="0"/>
    <x v="270"/>
    <s v="Cust272"/>
    <x v="2"/>
    <x v="269"/>
    <n v="6"/>
    <x v="270"/>
    <x v="23"/>
  </r>
  <r>
    <x v="271"/>
    <x v="187"/>
    <x v="3"/>
    <x v="2"/>
    <x v="0"/>
    <x v="271"/>
    <s v="Cust273"/>
    <x v="2"/>
    <x v="270"/>
    <n v="7"/>
    <x v="271"/>
    <x v="8"/>
  </r>
  <r>
    <x v="272"/>
    <x v="182"/>
    <x v="2"/>
    <x v="2"/>
    <x v="0"/>
    <x v="272"/>
    <s v="Cust274"/>
    <x v="0"/>
    <x v="271"/>
    <n v="5"/>
    <x v="272"/>
    <x v="15"/>
  </r>
  <r>
    <x v="273"/>
    <x v="188"/>
    <x v="2"/>
    <x v="2"/>
    <x v="0"/>
    <x v="273"/>
    <s v="Cust275"/>
    <x v="1"/>
    <x v="272"/>
    <n v="4"/>
    <x v="273"/>
    <x v="0"/>
  </r>
  <r>
    <x v="274"/>
    <x v="8"/>
    <x v="0"/>
    <x v="1"/>
    <x v="0"/>
    <x v="274"/>
    <s v="Cust276"/>
    <x v="1"/>
    <x v="273"/>
    <n v="6"/>
    <x v="274"/>
    <x v="25"/>
  </r>
  <r>
    <x v="275"/>
    <x v="148"/>
    <x v="2"/>
    <x v="0"/>
    <x v="0"/>
    <x v="275"/>
    <s v="Cust277"/>
    <x v="0"/>
    <x v="274"/>
    <n v="7"/>
    <x v="275"/>
    <x v="5"/>
  </r>
  <r>
    <x v="276"/>
    <x v="45"/>
    <x v="0"/>
    <x v="1"/>
    <x v="0"/>
    <x v="276"/>
    <s v="Cust278"/>
    <x v="1"/>
    <x v="275"/>
    <n v="3"/>
    <x v="276"/>
    <x v="2"/>
  </r>
  <r>
    <x v="277"/>
    <x v="117"/>
    <x v="0"/>
    <x v="1"/>
    <x v="0"/>
    <x v="277"/>
    <s v="Cust279"/>
    <x v="2"/>
    <x v="276"/>
    <n v="2"/>
    <x v="277"/>
    <x v="6"/>
  </r>
  <r>
    <x v="278"/>
    <x v="189"/>
    <x v="2"/>
    <x v="1"/>
    <x v="0"/>
    <x v="278"/>
    <s v="Cust280"/>
    <x v="0"/>
    <x v="277"/>
    <n v="7"/>
    <x v="278"/>
    <x v="0"/>
  </r>
  <r>
    <x v="279"/>
    <x v="112"/>
    <x v="2"/>
    <x v="0"/>
    <x v="0"/>
    <x v="279"/>
    <s v="Cust281"/>
    <x v="2"/>
    <x v="278"/>
    <n v="1"/>
    <x v="279"/>
    <x v="15"/>
  </r>
  <r>
    <x v="280"/>
    <x v="125"/>
    <x v="2"/>
    <x v="0"/>
    <x v="0"/>
    <x v="280"/>
    <s v="Cust282"/>
    <x v="0"/>
    <x v="279"/>
    <n v="8"/>
    <x v="280"/>
    <x v="2"/>
  </r>
  <r>
    <x v="281"/>
    <x v="80"/>
    <x v="3"/>
    <x v="2"/>
    <x v="0"/>
    <x v="281"/>
    <s v="Cust283"/>
    <x v="1"/>
    <x v="280"/>
    <n v="6"/>
    <x v="281"/>
    <x v="25"/>
  </r>
  <r>
    <x v="282"/>
    <x v="93"/>
    <x v="2"/>
    <x v="0"/>
    <x v="0"/>
    <x v="282"/>
    <s v="Cust284"/>
    <x v="2"/>
    <x v="281"/>
    <n v="7"/>
    <x v="282"/>
    <x v="22"/>
  </r>
  <r>
    <x v="283"/>
    <x v="190"/>
    <x v="0"/>
    <x v="0"/>
    <x v="0"/>
    <x v="283"/>
    <s v="Cust285"/>
    <x v="2"/>
    <x v="282"/>
    <n v="1"/>
    <x v="283"/>
    <x v="25"/>
  </r>
  <r>
    <x v="284"/>
    <x v="104"/>
    <x v="0"/>
    <x v="1"/>
    <x v="0"/>
    <x v="284"/>
    <s v="Cust286"/>
    <x v="0"/>
    <x v="283"/>
    <n v="1"/>
    <x v="284"/>
    <x v="24"/>
  </r>
  <r>
    <x v="285"/>
    <x v="120"/>
    <x v="2"/>
    <x v="0"/>
    <x v="0"/>
    <x v="285"/>
    <s v="Cust287"/>
    <x v="1"/>
    <x v="284"/>
    <n v="2"/>
    <x v="285"/>
    <x v="18"/>
  </r>
  <r>
    <x v="286"/>
    <x v="191"/>
    <x v="3"/>
    <x v="2"/>
    <x v="0"/>
    <x v="286"/>
    <s v="Cust288"/>
    <x v="1"/>
    <x v="285"/>
    <n v="1"/>
    <x v="286"/>
    <x v="9"/>
  </r>
  <r>
    <x v="287"/>
    <x v="31"/>
    <x v="0"/>
    <x v="0"/>
    <x v="0"/>
    <x v="287"/>
    <s v="Cust289"/>
    <x v="1"/>
    <x v="286"/>
    <n v="9"/>
    <x v="287"/>
    <x v="14"/>
  </r>
  <r>
    <x v="288"/>
    <x v="192"/>
    <x v="2"/>
    <x v="0"/>
    <x v="0"/>
    <x v="288"/>
    <s v="Cust290"/>
    <x v="2"/>
    <x v="287"/>
    <n v="7"/>
    <x v="288"/>
    <x v="24"/>
  </r>
  <r>
    <x v="289"/>
    <x v="193"/>
    <x v="0"/>
    <x v="1"/>
    <x v="0"/>
    <x v="289"/>
    <s v="Cust291"/>
    <x v="1"/>
    <x v="288"/>
    <n v="4"/>
    <x v="289"/>
    <x v="13"/>
  </r>
  <r>
    <x v="290"/>
    <x v="88"/>
    <x v="1"/>
    <x v="0"/>
    <x v="0"/>
    <x v="290"/>
    <s v="Cust292"/>
    <x v="1"/>
    <x v="289"/>
    <n v="6"/>
    <x v="290"/>
    <x v="26"/>
  </r>
  <r>
    <x v="291"/>
    <x v="194"/>
    <x v="1"/>
    <x v="1"/>
    <x v="0"/>
    <x v="291"/>
    <s v="Cust293"/>
    <x v="1"/>
    <x v="290"/>
    <n v="1"/>
    <x v="291"/>
    <x v="14"/>
  </r>
  <r>
    <x v="292"/>
    <x v="195"/>
    <x v="0"/>
    <x v="2"/>
    <x v="0"/>
    <x v="292"/>
    <s v="Cust294"/>
    <x v="0"/>
    <x v="291"/>
    <n v="8"/>
    <x v="292"/>
    <x v="9"/>
  </r>
  <r>
    <x v="293"/>
    <x v="148"/>
    <x v="1"/>
    <x v="2"/>
    <x v="0"/>
    <x v="293"/>
    <s v="Cust295"/>
    <x v="0"/>
    <x v="292"/>
    <n v="7"/>
    <x v="293"/>
    <x v="22"/>
  </r>
  <r>
    <x v="294"/>
    <x v="196"/>
    <x v="3"/>
    <x v="1"/>
    <x v="0"/>
    <x v="294"/>
    <s v="Cust296"/>
    <x v="2"/>
    <x v="293"/>
    <n v="6"/>
    <x v="294"/>
    <x v="24"/>
  </r>
  <r>
    <x v="295"/>
    <x v="197"/>
    <x v="1"/>
    <x v="2"/>
    <x v="0"/>
    <x v="295"/>
    <s v="Cust297"/>
    <x v="2"/>
    <x v="294"/>
    <n v="2"/>
    <x v="295"/>
    <x v="18"/>
  </r>
  <r>
    <x v="296"/>
    <x v="55"/>
    <x v="1"/>
    <x v="2"/>
    <x v="0"/>
    <x v="296"/>
    <s v="Cust298"/>
    <x v="2"/>
    <x v="295"/>
    <n v="1"/>
    <x v="296"/>
    <x v="7"/>
  </r>
  <r>
    <x v="297"/>
    <x v="73"/>
    <x v="3"/>
    <x v="1"/>
    <x v="0"/>
    <x v="297"/>
    <s v="Cust299"/>
    <x v="2"/>
    <x v="296"/>
    <n v="2"/>
    <x v="297"/>
    <x v="15"/>
  </r>
  <r>
    <x v="298"/>
    <x v="134"/>
    <x v="0"/>
    <x v="2"/>
    <x v="0"/>
    <x v="298"/>
    <s v="Cust300"/>
    <x v="1"/>
    <x v="297"/>
    <n v="4"/>
    <x v="298"/>
    <x v="3"/>
  </r>
  <r>
    <x v="299"/>
    <x v="198"/>
    <x v="0"/>
    <x v="2"/>
    <x v="0"/>
    <x v="299"/>
    <s v="Cust301"/>
    <x v="1"/>
    <x v="298"/>
    <n v="2"/>
    <x v="299"/>
    <x v="6"/>
  </r>
  <r>
    <x v="300"/>
    <x v="187"/>
    <x v="3"/>
    <x v="0"/>
    <x v="0"/>
    <x v="300"/>
    <s v="Cust302"/>
    <x v="2"/>
    <x v="299"/>
    <n v="8"/>
    <x v="300"/>
    <x v="16"/>
  </r>
  <r>
    <x v="301"/>
    <x v="25"/>
    <x v="2"/>
    <x v="2"/>
    <x v="0"/>
    <x v="301"/>
    <s v="Cust303"/>
    <x v="1"/>
    <x v="300"/>
    <n v="4"/>
    <x v="301"/>
    <x v="30"/>
  </r>
  <r>
    <x v="302"/>
    <x v="199"/>
    <x v="1"/>
    <x v="1"/>
    <x v="0"/>
    <x v="302"/>
    <s v="Cust304"/>
    <x v="2"/>
    <x v="301"/>
    <n v="1"/>
    <x v="302"/>
    <x v="26"/>
  </r>
  <r>
    <x v="303"/>
    <x v="29"/>
    <x v="1"/>
    <x v="1"/>
    <x v="0"/>
    <x v="303"/>
    <s v="Cust305"/>
    <x v="2"/>
    <x v="302"/>
    <n v="9"/>
    <x v="303"/>
    <x v="12"/>
  </r>
  <r>
    <x v="304"/>
    <x v="60"/>
    <x v="1"/>
    <x v="1"/>
    <x v="0"/>
    <x v="304"/>
    <s v="Cust306"/>
    <x v="1"/>
    <x v="303"/>
    <n v="9"/>
    <x v="304"/>
    <x v="6"/>
  </r>
  <r>
    <x v="305"/>
    <x v="200"/>
    <x v="0"/>
    <x v="2"/>
    <x v="0"/>
    <x v="305"/>
    <s v="Cust307"/>
    <x v="0"/>
    <x v="304"/>
    <n v="2"/>
    <x v="305"/>
    <x v="27"/>
  </r>
  <r>
    <x v="306"/>
    <x v="72"/>
    <x v="0"/>
    <x v="2"/>
    <x v="0"/>
    <x v="306"/>
    <s v="Cust308"/>
    <x v="2"/>
    <x v="305"/>
    <n v="3"/>
    <x v="306"/>
    <x v="18"/>
  </r>
  <r>
    <x v="307"/>
    <x v="105"/>
    <x v="3"/>
    <x v="1"/>
    <x v="0"/>
    <x v="307"/>
    <s v="Cust309"/>
    <x v="2"/>
    <x v="306"/>
    <n v="4"/>
    <x v="307"/>
    <x v="5"/>
  </r>
  <r>
    <x v="308"/>
    <x v="201"/>
    <x v="0"/>
    <x v="0"/>
    <x v="0"/>
    <x v="308"/>
    <s v="Cust310"/>
    <x v="1"/>
    <x v="307"/>
    <n v="1"/>
    <x v="308"/>
    <x v="15"/>
  </r>
  <r>
    <x v="309"/>
    <x v="73"/>
    <x v="2"/>
    <x v="0"/>
    <x v="0"/>
    <x v="309"/>
    <s v="Cust311"/>
    <x v="2"/>
    <x v="308"/>
    <n v="5"/>
    <x v="309"/>
    <x v="11"/>
  </r>
  <r>
    <x v="310"/>
    <x v="22"/>
    <x v="3"/>
    <x v="1"/>
    <x v="0"/>
    <x v="310"/>
    <s v="Cust312"/>
    <x v="1"/>
    <x v="309"/>
    <n v="6"/>
    <x v="310"/>
    <x v="10"/>
  </r>
  <r>
    <x v="311"/>
    <x v="50"/>
    <x v="1"/>
    <x v="0"/>
    <x v="0"/>
    <x v="311"/>
    <s v="Cust313"/>
    <x v="1"/>
    <x v="310"/>
    <n v="8"/>
    <x v="311"/>
    <x v="29"/>
  </r>
  <r>
    <x v="312"/>
    <x v="144"/>
    <x v="0"/>
    <x v="2"/>
    <x v="0"/>
    <x v="312"/>
    <s v="Cust314"/>
    <x v="2"/>
    <x v="311"/>
    <n v="4"/>
    <x v="312"/>
    <x v="29"/>
  </r>
  <r>
    <x v="313"/>
    <x v="202"/>
    <x v="2"/>
    <x v="2"/>
    <x v="0"/>
    <x v="313"/>
    <s v="Cust315"/>
    <x v="1"/>
    <x v="312"/>
    <n v="7"/>
    <x v="313"/>
    <x v="16"/>
  </r>
  <r>
    <x v="314"/>
    <x v="15"/>
    <x v="0"/>
    <x v="0"/>
    <x v="0"/>
    <x v="314"/>
    <s v="Cust316"/>
    <x v="0"/>
    <x v="313"/>
    <n v="2"/>
    <x v="314"/>
    <x v="6"/>
  </r>
  <r>
    <x v="315"/>
    <x v="203"/>
    <x v="3"/>
    <x v="0"/>
    <x v="0"/>
    <x v="315"/>
    <s v="Cust317"/>
    <x v="2"/>
    <x v="314"/>
    <n v="2"/>
    <x v="315"/>
    <x v="0"/>
  </r>
  <r>
    <x v="316"/>
    <x v="204"/>
    <x v="1"/>
    <x v="0"/>
    <x v="0"/>
    <x v="316"/>
    <s v="Cust318"/>
    <x v="1"/>
    <x v="315"/>
    <n v="4"/>
    <x v="316"/>
    <x v="4"/>
  </r>
  <r>
    <x v="317"/>
    <x v="45"/>
    <x v="1"/>
    <x v="1"/>
    <x v="0"/>
    <x v="317"/>
    <s v="Cust319"/>
    <x v="2"/>
    <x v="316"/>
    <n v="7"/>
    <x v="317"/>
    <x v="2"/>
  </r>
  <r>
    <x v="318"/>
    <x v="20"/>
    <x v="1"/>
    <x v="0"/>
    <x v="0"/>
    <x v="318"/>
    <s v="Cust320"/>
    <x v="1"/>
    <x v="317"/>
    <n v="6"/>
    <x v="318"/>
    <x v="28"/>
  </r>
  <r>
    <x v="319"/>
    <x v="11"/>
    <x v="1"/>
    <x v="1"/>
    <x v="0"/>
    <x v="319"/>
    <s v="Cust321"/>
    <x v="1"/>
    <x v="318"/>
    <n v="5"/>
    <x v="319"/>
    <x v="0"/>
  </r>
  <r>
    <x v="320"/>
    <x v="205"/>
    <x v="1"/>
    <x v="1"/>
    <x v="0"/>
    <x v="320"/>
    <s v="Cust322"/>
    <x v="1"/>
    <x v="319"/>
    <n v="9"/>
    <x v="320"/>
    <x v="9"/>
  </r>
  <r>
    <x v="321"/>
    <x v="109"/>
    <x v="1"/>
    <x v="0"/>
    <x v="0"/>
    <x v="321"/>
    <s v="Cust323"/>
    <x v="0"/>
    <x v="320"/>
    <n v="6"/>
    <x v="321"/>
    <x v="16"/>
  </r>
  <r>
    <x v="322"/>
    <x v="51"/>
    <x v="2"/>
    <x v="1"/>
    <x v="0"/>
    <x v="322"/>
    <s v="Cust324"/>
    <x v="0"/>
    <x v="321"/>
    <n v="8"/>
    <x v="322"/>
    <x v="23"/>
  </r>
  <r>
    <x v="323"/>
    <x v="102"/>
    <x v="2"/>
    <x v="0"/>
    <x v="0"/>
    <x v="323"/>
    <s v="Cust325"/>
    <x v="0"/>
    <x v="322"/>
    <n v="2"/>
    <x v="323"/>
    <x v="11"/>
  </r>
  <r>
    <x v="324"/>
    <x v="111"/>
    <x v="1"/>
    <x v="2"/>
    <x v="0"/>
    <x v="324"/>
    <s v="Cust326"/>
    <x v="0"/>
    <x v="323"/>
    <n v="3"/>
    <x v="324"/>
    <x v="2"/>
  </r>
  <r>
    <x v="325"/>
    <x v="91"/>
    <x v="0"/>
    <x v="1"/>
    <x v="0"/>
    <x v="325"/>
    <s v="Cust327"/>
    <x v="2"/>
    <x v="324"/>
    <n v="10"/>
    <x v="325"/>
    <x v="6"/>
  </r>
  <r>
    <x v="326"/>
    <x v="179"/>
    <x v="0"/>
    <x v="1"/>
    <x v="0"/>
    <x v="326"/>
    <s v="Cust328"/>
    <x v="0"/>
    <x v="325"/>
    <n v="5"/>
    <x v="326"/>
    <x v="10"/>
  </r>
  <r>
    <x v="327"/>
    <x v="141"/>
    <x v="2"/>
    <x v="0"/>
    <x v="0"/>
    <x v="327"/>
    <s v="Cust329"/>
    <x v="1"/>
    <x v="326"/>
    <n v="9"/>
    <x v="327"/>
    <x v="23"/>
  </r>
  <r>
    <x v="328"/>
    <x v="134"/>
    <x v="2"/>
    <x v="2"/>
    <x v="0"/>
    <x v="328"/>
    <s v="Cust330"/>
    <x v="1"/>
    <x v="327"/>
    <n v="5"/>
    <x v="328"/>
    <x v="30"/>
  </r>
  <r>
    <x v="329"/>
    <x v="206"/>
    <x v="3"/>
    <x v="1"/>
    <x v="0"/>
    <x v="329"/>
    <s v="Cust331"/>
    <x v="1"/>
    <x v="328"/>
    <n v="7"/>
    <x v="329"/>
    <x v="5"/>
  </r>
  <r>
    <x v="330"/>
    <x v="103"/>
    <x v="3"/>
    <x v="1"/>
    <x v="0"/>
    <x v="330"/>
    <s v="Cust332"/>
    <x v="2"/>
    <x v="329"/>
    <n v="1"/>
    <x v="330"/>
    <x v="9"/>
  </r>
  <r>
    <x v="331"/>
    <x v="207"/>
    <x v="0"/>
    <x v="0"/>
    <x v="0"/>
    <x v="331"/>
    <s v="Cust333"/>
    <x v="2"/>
    <x v="330"/>
    <n v="6"/>
    <x v="331"/>
    <x v="12"/>
  </r>
  <r>
    <x v="332"/>
    <x v="14"/>
    <x v="1"/>
    <x v="2"/>
    <x v="0"/>
    <x v="332"/>
    <s v="Cust334"/>
    <x v="1"/>
    <x v="331"/>
    <n v="4"/>
    <x v="332"/>
    <x v="19"/>
  </r>
  <r>
    <x v="333"/>
    <x v="105"/>
    <x v="0"/>
    <x v="2"/>
    <x v="0"/>
    <x v="333"/>
    <s v="Cust335"/>
    <x v="2"/>
    <x v="332"/>
    <n v="5"/>
    <x v="333"/>
    <x v="28"/>
  </r>
  <r>
    <x v="334"/>
    <x v="101"/>
    <x v="3"/>
    <x v="1"/>
    <x v="0"/>
    <x v="334"/>
    <s v="Cust336"/>
    <x v="2"/>
    <x v="333"/>
    <n v="7"/>
    <x v="334"/>
    <x v="3"/>
  </r>
  <r>
    <x v="335"/>
    <x v="98"/>
    <x v="3"/>
    <x v="1"/>
    <x v="0"/>
    <x v="335"/>
    <s v="Cust337"/>
    <x v="2"/>
    <x v="334"/>
    <n v="5"/>
    <x v="335"/>
    <x v="11"/>
  </r>
  <r>
    <x v="336"/>
    <x v="208"/>
    <x v="2"/>
    <x v="0"/>
    <x v="0"/>
    <x v="336"/>
    <s v="Cust338"/>
    <x v="2"/>
    <x v="335"/>
    <n v="1"/>
    <x v="336"/>
    <x v="27"/>
  </r>
  <r>
    <x v="337"/>
    <x v="1"/>
    <x v="3"/>
    <x v="0"/>
    <x v="0"/>
    <x v="337"/>
    <s v="Cust339"/>
    <x v="0"/>
    <x v="336"/>
    <n v="8"/>
    <x v="337"/>
    <x v="11"/>
  </r>
  <r>
    <x v="338"/>
    <x v="14"/>
    <x v="3"/>
    <x v="0"/>
    <x v="0"/>
    <x v="338"/>
    <s v="Cust340"/>
    <x v="1"/>
    <x v="337"/>
    <n v="8"/>
    <x v="338"/>
    <x v="24"/>
  </r>
  <r>
    <x v="339"/>
    <x v="209"/>
    <x v="2"/>
    <x v="1"/>
    <x v="0"/>
    <x v="339"/>
    <s v="Cust341"/>
    <x v="2"/>
    <x v="338"/>
    <n v="6"/>
    <x v="339"/>
    <x v="17"/>
  </r>
  <r>
    <x v="340"/>
    <x v="210"/>
    <x v="2"/>
    <x v="1"/>
    <x v="0"/>
    <x v="340"/>
    <s v="Cust342"/>
    <x v="2"/>
    <x v="339"/>
    <n v="7"/>
    <x v="340"/>
    <x v="7"/>
  </r>
  <r>
    <x v="341"/>
    <x v="211"/>
    <x v="1"/>
    <x v="2"/>
    <x v="0"/>
    <x v="341"/>
    <s v="Cust343"/>
    <x v="1"/>
    <x v="340"/>
    <n v="4"/>
    <x v="341"/>
    <x v="7"/>
  </r>
  <r>
    <x v="342"/>
    <x v="212"/>
    <x v="2"/>
    <x v="2"/>
    <x v="0"/>
    <x v="342"/>
    <s v="Cust344"/>
    <x v="1"/>
    <x v="341"/>
    <n v="5"/>
    <x v="342"/>
    <x v="19"/>
  </r>
  <r>
    <x v="343"/>
    <x v="213"/>
    <x v="1"/>
    <x v="1"/>
    <x v="0"/>
    <x v="343"/>
    <s v="Cust345"/>
    <x v="1"/>
    <x v="342"/>
    <n v="3"/>
    <x v="343"/>
    <x v="21"/>
  </r>
  <r>
    <x v="344"/>
    <x v="214"/>
    <x v="3"/>
    <x v="1"/>
    <x v="0"/>
    <x v="344"/>
    <s v="Cust346"/>
    <x v="0"/>
    <x v="343"/>
    <n v="4"/>
    <x v="344"/>
    <x v="10"/>
  </r>
  <r>
    <x v="345"/>
    <x v="215"/>
    <x v="2"/>
    <x v="2"/>
    <x v="0"/>
    <x v="345"/>
    <s v="Cust347"/>
    <x v="1"/>
    <x v="344"/>
    <n v="5"/>
    <x v="345"/>
    <x v="3"/>
  </r>
  <r>
    <x v="346"/>
    <x v="84"/>
    <x v="3"/>
    <x v="2"/>
    <x v="0"/>
    <x v="346"/>
    <s v="Cust348"/>
    <x v="2"/>
    <x v="345"/>
    <n v="7"/>
    <x v="346"/>
    <x v="7"/>
  </r>
  <r>
    <x v="347"/>
    <x v="18"/>
    <x v="0"/>
    <x v="0"/>
    <x v="0"/>
    <x v="347"/>
    <s v="Cust349"/>
    <x v="2"/>
    <x v="346"/>
    <n v="9"/>
    <x v="347"/>
    <x v="5"/>
  </r>
  <r>
    <x v="348"/>
    <x v="95"/>
    <x v="3"/>
    <x v="0"/>
    <x v="0"/>
    <x v="348"/>
    <s v="Cust350"/>
    <x v="1"/>
    <x v="347"/>
    <n v="2"/>
    <x v="348"/>
    <x v="25"/>
  </r>
  <r>
    <x v="349"/>
    <x v="68"/>
    <x v="1"/>
    <x v="0"/>
    <x v="0"/>
    <x v="349"/>
    <s v="Cust351"/>
    <x v="0"/>
    <x v="348"/>
    <n v="4"/>
    <x v="349"/>
    <x v="10"/>
  </r>
  <r>
    <x v="350"/>
    <x v="20"/>
    <x v="3"/>
    <x v="2"/>
    <x v="0"/>
    <x v="350"/>
    <s v="Cust352"/>
    <x v="2"/>
    <x v="349"/>
    <n v="1"/>
    <x v="350"/>
    <x v="10"/>
  </r>
  <r>
    <x v="351"/>
    <x v="216"/>
    <x v="0"/>
    <x v="2"/>
    <x v="0"/>
    <x v="351"/>
    <s v="Cust353"/>
    <x v="2"/>
    <x v="350"/>
    <n v="1"/>
    <x v="351"/>
    <x v="15"/>
  </r>
  <r>
    <x v="352"/>
    <x v="99"/>
    <x v="0"/>
    <x v="1"/>
    <x v="0"/>
    <x v="352"/>
    <s v="Cust354"/>
    <x v="1"/>
    <x v="351"/>
    <n v="7"/>
    <x v="352"/>
    <x v="23"/>
  </r>
  <r>
    <x v="353"/>
    <x v="71"/>
    <x v="3"/>
    <x v="1"/>
    <x v="0"/>
    <x v="353"/>
    <s v="Cust355"/>
    <x v="2"/>
    <x v="352"/>
    <n v="10"/>
    <x v="353"/>
    <x v="8"/>
  </r>
  <r>
    <x v="354"/>
    <x v="35"/>
    <x v="1"/>
    <x v="0"/>
    <x v="0"/>
    <x v="354"/>
    <s v="Cust356"/>
    <x v="0"/>
    <x v="353"/>
    <n v="8"/>
    <x v="354"/>
    <x v="4"/>
  </r>
  <r>
    <x v="355"/>
    <x v="217"/>
    <x v="0"/>
    <x v="0"/>
    <x v="0"/>
    <x v="355"/>
    <s v="Cust357"/>
    <x v="2"/>
    <x v="354"/>
    <n v="1"/>
    <x v="355"/>
    <x v="7"/>
  </r>
  <r>
    <x v="356"/>
    <x v="188"/>
    <x v="0"/>
    <x v="2"/>
    <x v="0"/>
    <x v="356"/>
    <s v="Cust358"/>
    <x v="2"/>
    <x v="355"/>
    <n v="2"/>
    <x v="356"/>
    <x v="5"/>
  </r>
  <r>
    <x v="357"/>
    <x v="194"/>
    <x v="2"/>
    <x v="1"/>
    <x v="0"/>
    <x v="357"/>
    <s v="Cust359"/>
    <x v="1"/>
    <x v="356"/>
    <n v="9"/>
    <x v="357"/>
    <x v="25"/>
  </r>
  <r>
    <x v="358"/>
    <x v="90"/>
    <x v="1"/>
    <x v="2"/>
    <x v="0"/>
    <x v="358"/>
    <s v="Cust360"/>
    <x v="2"/>
    <x v="357"/>
    <n v="1"/>
    <x v="358"/>
    <x v="28"/>
  </r>
  <r>
    <x v="359"/>
    <x v="218"/>
    <x v="2"/>
    <x v="0"/>
    <x v="0"/>
    <x v="359"/>
    <s v="Cust361"/>
    <x v="2"/>
    <x v="358"/>
    <n v="8"/>
    <x v="359"/>
    <x v="21"/>
  </r>
  <r>
    <x v="360"/>
    <x v="180"/>
    <x v="1"/>
    <x v="0"/>
    <x v="0"/>
    <x v="360"/>
    <s v="Cust362"/>
    <x v="2"/>
    <x v="359"/>
    <n v="7"/>
    <x v="360"/>
    <x v="15"/>
  </r>
  <r>
    <x v="361"/>
    <x v="219"/>
    <x v="2"/>
    <x v="1"/>
    <x v="0"/>
    <x v="361"/>
    <s v="Cust363"/>
    <x v="1"/>
    <x v="360"/>
    <n v="5"/>
    <x v="361"/>
    <x v="8"/>
  </r>
  <r>
    <x v="362"/>
    <x v="133"/>
    <x v="2"/>
    <x v="2"/>
    <x v="0"/>
    <x v="362"/>
    <s v="Cust364"/>
    <x v="1"/>
    <x v="361"/>
    <n v="2"/>
    <x v="362"/>
    <x v="16"/>
  </r>
  <r>
    <x v="363"/>
    <x v="45"/>
    <x v="1"/>
    <x v="1"/>
    <x v="0"/>
    <x v="363"/>
    <s v="Cust365"/>
    <x v="2"/>
    <x v="362"/>
    <n v="6"/>
    <x v="363"/>
    <x v="5"/>
  </r>
  <r>
    <x v="364"/>
    <x v="200"/>
    <x v="0"/>
    <x v="2"/>
    <x v="0"/>
    <x v="364"/>
    <s v="Cust366"/>
    <x v="1"/>
    <x v="363"/>
    <n v="9"/>
    <x v="364"/>
    <x v="1"/>
  </r>
  <r>
    <x v="365"/>
    <x v="220"/>
    <x v="0"/>
    <x v="2"/>
    <x v="0"/>
    <x v="365"/>
    <s v="Cust367"/>
    <x v="2"/>
    <x v="364"/>
    <n v="4"/>
    <x v="365"/>
    <x v="17"/>
  </r>
  <r>
    <x v="366"/>
    <x v="37"/>
    <x v="2"/>
    <x v="1"/>
    <x v="0"/>
    <x v="366"/>
    <s v="Cust368"/>
    <x v="2"/>
    <x v="365"/>
    <n v="4"/>
    <x v="366"/>
    <x v="18"/>
  </r>
  <r>
    <x v="367"/>
    <x v="2"/>
    <x v="2"/>
    <x v="1"/>
    <x v="0"/>
    <x v="367"/>
    <s v="Cust369"/>
    <x v="1"/>
    <x v="366"/>
    <n v="6"/>
    <x v="367"/>
    <x v="17"/>
  </r>
  <r>
    <x v="368"/>
    <x v="199"/>
    <x v="3"/>
    <x v="2"/>
    <x v="0"/>
    <x v="368"/>
    <s v="Cust370"/>
    <x v="0"/>
    <x v="367"/>
    <n v="9"/>
    <x v="368"/>
    <x v="6"/>
  </r>
  <r>
    <x v="369"/>
    <x v="221"/>
    <x v="2"/>
    <x v="2"/>
    <x v="0"/>
    <x v="369"/>
    <s v="Cust371"/>
    <x v="2"/>
    <x v="368"/>
    <n v="7"/>
    <x v="369"/>
    <x v="17"/>
  </r>
  <r>
    <x v="370"/>
    <x v="222"/>
    <x v="1"/>
    <x v="1"/>
    <x v="0"/>
    <x v="370"/>
    <s v="Cust372"/>
    <x v="1"/>
    <x v="369"/>
    <n v="5"/>
    <x v="370"/>
    <x v="21"/>
  </r>
  <r>
    <x v="371"/>
    <x v="223"/>
    <x v="1"/>
    <x v="0"/>
    <x v="0"/>
    <x v="371"/>
    <s v="Cust373"/>
    <x v="1"/>
    <x v="370"/>
    <n v="5"/>
    <x v="371"/>
    <x v="6"/>
  </r>
  <r>
    <x v="372"/>
    <x v="33"/>
    <x v="1"/>
    <x v="1"/>
    <x v="0"/>
    <x v="372"/>
    <s v="Cust374"/>
    <x v="2"/>
    <x v="371"/>
    <n v="4"/>
    <x v="372"/>
    <x v="5"/>
  </r>
  <r>
    <x v="373"/>
    <x v="91"/>
    <x v="1"/>
    <x v="0"/>
    <x v="0"/>
    <x v="373"/>
    <s v="Cust375"/>
    <x v="1"/>
    <x v="372"/>
    <n v="8"/>
    <x v="373"/>
    <x v="7"/>
  </r>
  <r>
    <x v="374"/>
    <x v="115"/>
    <x v="1"/>
    <x v="2"/>
    <x v="0"/>
    <x v="374"/>
    <s v="Cust376"/>
    <x v="1"/>
    <x v="373"/>
    <n v="3"/>
    <x v="374"/>
    <x v="26"/>
  </r>
  <r>
    <x v="375"/>
    <x v="181"/>
    <x v="0"/>
    <x v="1"/>
    <x v="0"/>
    <x v="375"/>
    <s v="Cust377"/>
    <x v="0"/>
    <x v="374"/>
    <n v="6"/>
    <x v="375"/>
    <x v="1"/>
  </r>
  <r>
    <x v="376"/>
    <x v="16"/>
    <x v="2"/>
    <x v="0"/>
    <x v="0"/>
    <x v="376"/>
    <s v="Cust378"/>
    <x v="0"/>
    <x v="375"/>
    <n v="5"/>
    <x v="376"/>
    <x v="26"/>
  </r>
  <r>
    <x v="377"/>
    <x v="75"/>
    <x v="1"/>
    <x v="0"/>
    <x v="0"/>
    <x v="377"/>
    <s v="Cust379"/>
    <x v="1"/>
    <x v="376"/>
    <n v="4"/>
    <x v="377"/>
    <x v="24"/>
  </r>
  <r>
    <x v="378"/>
    <x v="224"/>
    <x v="0"/>
    <x v="1"/>
    <x v="0"/>
    <x v="378"/>
    <s v="Cust380"/>
    <x v="1"/>
    <x v="377"/>
    <n v="9"/>
    <x v="378"/>
    <x v="28"/>
  </r>
  <r>
    <x v="379"/>
    <x v="210"/>
    <x v="3"/>
    <x v="1"/>
    <x v="0"/>
    <x v="379"/>
    <s v="Cust381"/>
    <x v="0"/>
    <x v="378"/>
    <n v="5"/>
    <x v="379"/>
    <x v="7"/>
  </r>
  <r>
    <x v="380"/>
    <x v="36"/>
    <x v="0"/>
    <x v="2"/>
    <x v="0"/>
    <x v="380"/>
    <s v="Cust382"/>
    <x v="2"/>
    <x v="379"/>
    <n v="4"/>
    <x v="380"/>
    <x v="16"/>
  </r>
  <r>
    <x v="381"/>
    <x v="171"/>
    <x v="1"/>
    <x v="2"/>
    <x v="0"/>
    <x v="381"/>
    <s v="Cust383"/>
    <x v="1"/>
    <x v="380"/>
    <n v="7"/>
    <x v="381"/>
    <x v="4"/>
  </r>
  <r>
    <x v="382"/>
    <x v="34"/>
    <x v="3"/>
    <x v="0"/>
    <x v="0"/>
    <x v="382"/>
    <s v="Cust384"/>
    <x v="0"/>
    <x v="381"/>
    <n v="9"/>
    <x v="382"/>
    <x v="22"/>
  </r>
  <r>
    <x v="383"/>
    <x v="225"/>
    <x v="1"/>
    <x v="2"/>
    <x v="0"/>
    <x v="383"/>
    <s v="Cust385"/>
    <x v="0"/>
    <x v="382"/>
    <n v="6"/>
    <x v="383"/>
    <x v="20"/>
  </r>
  <r>
    <x v="384"/>
    <x v="100"/>
    <x v="0"/>
    <x v="1"/>
    <x v="0"/>
    <x v="384"/>
    <s v="Cust386"/>
    <x v="0"/>
    <x v="383"/>
    <n v="4"/>
    <x v="384"/>
    <x v="25"/>
  </r>
  <r>
    <x v="385"/>
    <x v="226"/>
    <x v="1"/>
    <x v="1"/>
    <x v="0"/>
    <x v="385"/>
    <s v="Cust387"/>
    <x v="1"/>
    <x v="384"/>
    <n v="2"/>
    <x v="385"/>
    <x v="30"/>
  </r>
  <r>
    <x v="386"/>
    <x v="201"/>
    <x v="2"/>
    <x v="0"/>
    <x v="0"/>
    <x v="386"/>
    <s v="Cust388"/>
    <x v="0"/>
    <x v="385"/>
    <n v="4"/>
    <x v="386"/>
    <x v="22"/>
  </r>
  <r>
    <x v="387"/>
    <x v="142"/>
    <x v="1"/>
    <x v="2"/>
    <x v="0"/>
    <x v="387"/>
    <s v="Cust389"/>
    <x v="0"/>
    <x v="386"/>
    <n v="1"/>
    <x v="387"/>
    <x v="11"/>
  </r>
  <r>
    <x v="388"/>
    <x v="114"/>
    <x v="0"/>
    <x v="0"/>
    <x v="0"/>
    <x v="388"/>
    <s v="Cust390"/>
    <x v="0"/>
    <x v="387"/>
    <n v="4"/>
    <x v="388"/>
    <x v="27"/>
  </r>
  <r>
    <x v="389"/>
    <x v="136"/>
    <x v="2"/>
    <x v="1"/>
    <x v="0"/>
    <x v="389"/>
    <s v="Cust391"/>
    <x v="0"/>
    <x v="388"/>
    <n v="10"/>
    <x v="389"/>
    <x v="27"/>
  </r>
  <r>
    <x v="390"/>
    <x v="227"/>
    <x v="3"/>
    <x v="2"/>
    <x v="0"/>
    <x v="390"/>
    <s v="Cust392"/>
    <x v="1"/>
    <x v="389"/>
    <n v="4"/>
    <x v="390"/>
    <x v="26"/>
  </r>
  <r>
    <x v="391"/>
    <x v="228"/>
    <x v="3"/>
    <x v="0"/>
    <x v="0"/>
    <x v="391"/>
    <s v="Cust393"/>
    <x v="2"/>
    <x v="390"/>
    <n v="2"/>
    <x v="391"/>
    <x v="7"/>
  </r>
  <r>
    <x v="392"/>
    <x v="189"/>
    <x v="1"/>
    <x v="1"/>
    <x v="0"/>
    <x v="392"/>
    <s v="Cust394"/>
    <x v="1"/>
    <x v="391"/>
    <n v="2"/>
    <x v="392"/>
    <x v="14"/>
  </r>
  <r>
    <x v="393"/>
    <x v="26"/>
    <x v="3"/>
    <x v="0"/>
    <x v="0"/>
    <x v="393"/>
    <s v="Cust395"/>
    <x v="1"/>
    <x v="392"/>
    <n v="4"/>
    <x v="393"/>
    <x v="5"/>
  </r>
  <r>
    <x v="394"/>
    <x v="192"/>
    <x v="0"/>
    <x v="0"/>
    <x v="0"/>
    <x v="394"/>
    <s v="Cust396"/>
    <x v="0"/>
    <x v="393"/>
    <n v="10"/>
    <x v="394"/>
    <x v="4"/>
  </r>
  <r>
    <x v="395"/>
    <x v="229"/>
    <x v="3"/>
    <x v="0"/>
    <x v="0"/>
    <x v="395"/>
    <s v="Cust397"/>
    <x v="1"/>
    <x v="394"/>
    <n v="7"/>
    <x v="395"/>
    <x v="12"/>
  </r>
  <r>
    <x v="396"/>
    <x v="230"/>
    <x v="3"/>
    <x v="1"/>
    <x v="0"/>
    <x v="396"/>
    <s v="Cust398"/>
    <x v="2"/>
    <x v="395"/>
    <n v="7"/>
    <x v="396"/>
    <x v="11"/>
  </r>
  <r>
    <x v="397"/>
    <x v="231"/>
    <x v="3"/>
    <x v="0"/>
    <x v="0"/>
    <x v="397"/>
    <s v="Cust399"/>
    <x v="1"/>
    <x v="396"/>
    <n v="4"/>
    <x v="397"/>
    <x v="19"/>
  </r>
  <r>
    <x v="398"/>
    <x v="37"/>
    <x v="3"/>
    <x v="0"/>
    <x v="0"/>
    <x v="398"/>
    <s v="Cust400"/>
    <x v="1"/>
    <x v="397"/>
    <n v="8"/>
    <x v="398"/>
    <x v="0"/>
  </r>
  <r>
    <x v="399"/>
    <x v="232"/>
    <x v="2"/>
    <x v="1"/>
    <x v="0"/>
    <x v="399"/>
    <s v="Cust401"/>
    <x v="1"/>
    <x v="398"/>
    <n v="6"/>
    <x v="39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D31D18-061E-47D3-8109-9063799CD321}" name="PivotTable1"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B1:E17" firstHeaderRow="0" firstDataRow="1" firstDataCol="2"/>
  <pivotFields count="14">
    <pivotField compact="0" outline="0" showAll="0">
      <items count="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t="default"/>
      </items>
      <extLst>
        <ext xmlns:x14="http://schemas.microsoft.com/office/spreadsheetml/2009/9/main" uri="{2946ED86-A175-432a-8AC1-64E0C546D7DE}">
          <x14:pivotField fillDownLabels="1"/>
        </ext>
      </extLst>
    </pivotField>
    <pivotField compact="0" numFmtId="164" outline="0" showAll="0">
      <items count="234">
        <item x="3"/>
        <item x="184"/>
        <item x="201"/>
        <item x="231"/>
        <item x="218"/>
        <item x="221"/>
        <item x="117"/>
        <item x="127"/>
        <item x="119"/>
        <item x="167"/>
        <item x="65"/>
        <item x="214"/>
        <item x="2"/>
        <item x="23"/>
        <item x="42"/>
        <item x="98"/>
        <item x="141"/>
        <item x="134"/>
        <item x="89"/>
        <item x="35"/>
        <item x="179"/>
        <item x="39"/>
        <item x="6"/>
        <item x="206"/>
        <item x="229"/>
        <item x="75"/>
        <item x="114"/>
        <item x="27"/>
        <item x="145"/>
        <item x="108"/>
        <item x="110"/>
        <item x="192"/>
        <item x="7"/>
        <item x="44"/>
        <item x="118"/>
        <item x="211"/>
        <item x="126"/>
        <item x="203"/>
        <item x="101"/>
        <item x="17"/>
        <item x="41"/>
        <item x="45"/>
        <item x="30"/>
        <item x="80"/>
        <item x="22"/>
        <item x="4"/>
        <item x="112"/>
        <item x="135"/>
        <item x="49"/>
        <item x="232"/>
        <item x="190"/>
        <item x="91"/>
        <item x="160"/>
        <item x="46"/>
        <item x="47"/>
        <item x="52"/>
        <item x="196"/>
        <item x="67"/>
        <item x="58"/>
        <item x="198"/>
        <item x="77"/>
        <item x="130"/>
        <item x="74"/>
        <item x="129"/>
        <item x="125"/>
        <item x="150"/>
        <item x="107"/>
        <item x="188"/>
        <item x="162"/>
        <item x="153"/>
        <item x="86"/>
        <item x="61"/>
        <item x="204"/>
        <item x="64"/>
        <item x="220"/>
        <item x="100"/>
        <item x="43"/>
        <item x="178"/>
        <item x="16"/>
        <item x="121"/>
        <item x="9"/>
        <item x="185"/>
        <item x="171"/>
        <item x="87"/>
        <item x="172"/>
        <item x="120"/>
        <item x="56"/>
        <item x="199"/>
        <item x="207"/>
        <item x="170"/>
        <item x="29"/>
        <item x="189"/>
        <item x="48"/>
        <item x="111"/>
        <item x="96"/>
        <item x="88"/>
        <item x="144"/>
        <item x="60"/>
        <item x="219"/>
        <item x="209"/>
        <item x="138"/>
        <item x="82"/>
        <item x="57"/>
        <item x="210"/>
        <item x="99"/>
        <item x="54"/>
        <item x="191"/>
        <item x="104"/>
        <item x="68"/>
        <item x="95"/>
        <item x="194"/>
        <item x="182"/>
        <item x="78"/>
        <item x="186"/>
        <item x="195"/>
        <item x="94"/>
        <item x="13"/>
        <item x="183"/>
        <item x="155"/>
        <item x="69"/>
        <item x="149"/>
        <item x="176"/>
        <item x="139"/>
        <item x="165"/>
        <item x="32"/>
        <item x="147"/>
        <item x="21"/>
        <item x="133"/>
        <item x="168"/>
        <item x="225"/>
        <item x="166"/>
        <item x="97"/>
        <item x="28"/>
        <item x="200"/>
        <item x="93"/>
        <item x="83"/>
        <item x="116"/>
        <item x="81"/>
        <item x="137"/>
        <item x="63"/>
        <item x="173"/>
        <item x="161"/>
        <item x="228"/>
        <item x="37"/>
        <item x="158"/>
        <item x="19"/>
        <item x="208"/>
        <item x="31"/>
        <item x="174"/>
        <item x="212"/>
        <item x="15"/>
        <item x="154"/>
        <item x="151"/>
        <item x="73"/>
        <item x="122"/>
        <item x="123"/>
        <item x="132"/>
        <item x="128"/>
        <item x="148"/>
        <item x="59"/>
        <item x="205"/>
        <item x="164"/>
        <item x="177"/>
        <item x="55"/>
        <item x="92"/>
        <item x="217"/>
        <item x="103"/>
        <item x="152"/>
        <item x="223"/>
        <item x="76"/>
        <item x="156"/>
        <item x="1"/>
        <item x="38"/>
        <item x="202"/>
        <item x="224"/>
        <item x="12"/>
        <item x="11"/>
        <item x="227"/>
        <item x="50"/>
        <item x="157"/>
        <item x="62"/>
        <item x="53"/>
        <item x="72"/>
        <item x="113"/>
        <item x="34"/>
        <item x="222"/>
        <item x="40"/>
        <item x="25"/>
        <item x="90"/>
        <item x="33"/>
        <item x="109"/>
        <item x="131"/>
        <item x="0"/>
        <item x="163"/>
        <item x="175"/>
        <item x="106"/>
        <item x="124"/>
        <item x="213"/>
        <item x="70"/>
        <item x="102"/>
        <item x="146"/>
        <item x="181"/>
        <item x="140"/>
        <item x="5"/>
        <item x="10"/>
        <item x="143"/>
        <item x="24"/>
        <item x="216"/>
        <item x="215"/>
        <item x="159"/>
        <item x="180"/>
        <item x="226"/>
        <item x="14"/>
        <item x="18"/>
        <item x="193"/>
        <item x="51"/>
        <item x="20"/>
        <item x="115"/>
        <item x="230"/>
        <item x="71"/>
        <item x="79"/>
        <item x="169"/>
        <item x="8"/>
        <item x="84"/>
        <item x="142"/>
        <item x="187"/>
        <item x="66"/>
        <item x="36"/>
        <item x="26"/>
        <item x="136"/>
        <item x="105"/>
        <item x="197"/>
        <item x="85"/>
        <item t="default"/>
      </items>
      <extLst>
        <ext xmlns:x14="http://schemas.microsoft.com/office/spreadsheetml/2009/9/main" uri="{2946ED86-A175-432a-8AC1-64E0C546D7DE}">
          <x14:pivotField fillDownLabels="1"/>
        </ext>
      </extLst>
    </pivotField>
    <pivotField axis="axisRow" compact="0" outline="0" showAll="0">
      <items count="5">
        <item x="2"/>
        <item x="3"/>
        <item x="1"/>
        <item x="0"/>
        <item t="default"/>
      </items>
      <extLst>
        <ext xmlns:x14="http://schemas.microsoft.com/office/spreadsheetml/2009/9/main" uri="{2946ED86-A175-432a-8AC1-64E0C546D7DE}">
          <x14:pivotField fillDownLabels="1"/>
        </ext>
      </extLst>
    </pivotField>
    <pivotField axis="axisRow" compact="0" outline="0" showAll="0">
      <items count="4">
        <item x="2"/>
        <item x="1"/>
        <item x="0"/>
        <item t="default"/>
      </items>
      <extLst>
        <ext xmlns:x14="http://schemas.microsoft.com/office/spreadsheetml/2009/9/main" uri="{2946ED86-A175-432a-8AC1-64E0C546D7DE}">
          <x14:pivotField fillDownLabels="1"/>
        </ext>
      </extLst>
    </pivotField>
    <pivotField compact="0" outline="0" showAll="0">
      <items count="2">
        <item x="0"/>
        <item t="default"/>
      </items>
      <extLst>
        <ext xmlns:x14="http://schemas.microsoft.com/office/spreadsheetml/2009/9/main" uri="{2946ED86-A175-432a-8AC1-64E0C546D7DE}">
          <x14:pivotField fillDownLabels="1"/>
        </ext>
      </extLst>
    </pivotField>
    <pivotField compact="0" outline="0" showAll="0">
      <items count="40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0"/>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1"/>
        <item x="28"/>
        <item x="298"/>
        <item x="299"/>
        <item x="300"/>
        <item x="301"/>
        <item x="302"/>
        <item x="303"/>
        <item x="304"/>
        <item x="305"/>
        <item x="306"/>
        <item x="307"/>
        <item x="29"/>
        <item x="308"/>
        <item x="309"/>
        <item x="310"/>
        <item x="311"/>
        <item x="312"/>
        <item x="313"/>
        <item x="314"/>
        <item x="315"/>
        <item x="316"/>
        <item x="317"/>
        <item x="30"/>
        <item x="318"/>
        <item x="319"/>
        <item x="320"/>
        <item x="321"/>
        <item x="322"/>
        <item x="323"/>
        <item x="324"/>
        <item x="325"/>
        <item x="326"/>
        <item x="327"/>
        <item x="31"/>
        <item x="328"/>
        <item x="329"/>
        <item x="330"/>
        <item x="331"/>
        <item x="332"/>
        <item x="333"/>
        <item x="334"/>
        <item x="335"/>
        <item x="336"/>
        <item x="337"/>
        <item x="32"/>
        <item x="338"/>
        <item x="339"/>
        <item x="340"/>
        <item x="341"/>
        <item x="342"/>
        <item x="343"/>
        <item x="344"/>
        <item x="345"/>
        <item x="346"/>
        <item x="347"/>
        <item x="33"/>
        <item x="348"/>
        <item x="349"/>
        <item x="350"/>
        <item x="351"/>
        <item x="352"/>
        <item x="353"/>
        <item x="354"/>
        <item x="355"/>
        <item x="356"/>
        <item x="357"/>
        <item x="34"/>
        <item x="358"/>
        <item x="359"/>
        <item x="360"/>
        <item x="361"/>
        <item x="362"/>
        <item x="363"/>
        <item x="364"/>
        <item x="365"/>
        <item x="366"/>
        <item x="367"/>
        <item x="35"/>
        <item x="368"/>
        <item x="369"/>
        <item x="370"/>
        <item x="371"/>
        <item x="372"/>
        <item x="373"/>
        <item x="374"/>
        <item x="375"/>
        <item x="376"/>
        <item x="377"/>
        <item x="36"/>
        <item x="378"/>
        <item x="379"/>
        <item x="380"/>
        <item x="381"/>
        <item x="382"/>
        <item x="383"/>
        <item x="384"/>
        <item x="385"/>
        <item x="386"/>
        <item x="387"/>
        <item x="37"/>
        <item x="388"/>
        <item x="389"/>
        <item x="390"/>
        <item x="391"/>
        <item x="392"/>
        <item x="393"/>
        <item x="394"/>
        <item x="395"/>
        <item x="396"/>
        <item x="397"/>
        <item x="2"/>
        <item x="38"/>
        <item x="398"/>
        <item x="399"/>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00">
        <item x="341"/>
        <item x="239"/>
        <item x="221"/>
        <item x="262"/>
        <item x="372"/>
        <item x="228"/>
        <item x="36"/>
        <item x="265"/>
        <item x="350"/>
        <item x="181"/>
        <item x="258"/>
        <item x="104"/>
        <item x="26"/>
        <item x="266"/>
        <item x="85"/>
        <item x="354"/>
        <item x="45"/>
        <item x="1"/>
        <item x="58"/>
        <item x="201"/>
        <item x="343"/>
        <item x="57"/>
        <item x="35"/>
        <item x="220"/>
        <item x="30"/>
        <item x="116"/>
        <item x="153"/>
        <item x="375"/>
        <item x="178"/>
        <item x="185"/>
        <item x="139"/>
        <item x="230"/>
        <item x="380"/>
        <item x="148"/>
        <item x="390"/>
        <item x="337"/>
        <item x="254"/>
        <item x="20"/>
        <item x="180"/>
        <item x="121"/>
        <item x="173"/>
        <item x="2"/>
        <item x="76"/>
        <item x="352"/>
        <item x="8"/>
        <item x="165"/>
        <item x="63"/>
        <item x="312"/>
        <item x="339"/>
        <item x="134"/>
        <item x="249"/>
        <item x="170"/>
        <item x="83"/>
        <item x="359"/>
        <item x="80"/>
        <item x="147"/>
        <item x="322"/>
        <item x="55"/>
        <item x="60"/>
        <item x="51"/>
        <item x="84"/>
        <item x="397"/>
        <item x="291"/>
        <item x="307"/>
        <item x="246"/>
        <item x="186"/>
        <item x="154"/>
        <item x="144"/>
        <item x="203"/>
        <item x="72"/>
        <item x="287"/>
        <item x="28"/>
        <item x="87"/>
        <item x="360"/>
        <item x="271"/>
        <item x="108"/>
        <item x="142"/>
        <item x="126"/>
        <item x="358"/>
        <item x="41"/>
        <item x="192"/>
        <item x="194"/>
        <item x="193"/>
        <item x="198"/>
        <item x="296"/>
        <item x="364"/>
        <item x="205"/>
        <item x="179"/>
        <item x="346"/>
        <item x="100"/>
        <item x="293"/>
        <item x="388"/>
        <item x="334"/>
        <item x="163"/>
        <item x="207"/>
        <item x="362"/>
        <item x="212"/>
        <item x="340"/>
        <item x="237"/>
        <item x="286"/>
        <item x="396"/>
        <item x="251"/>
        <item x="5"/>
        <item x="374"/>
        <item x="68"/>
        <item x="313"/>
        <item x="49"/>
        <item x="17"/>
        <item x="232"/>
        <item x="137"/>
        <item x="243"/>
        <item x="158"/>
        <item x="3"/>
        <item x="305"/>
        <item x="223"/>
        <item x="214"/>
        <item x="242"/>
        <item x="200"/>
        <item x="149"/>
        <item x="106"/>
        <item x="42"/>
        <item x="318"/>
        <item x="164"/>
        <item x="13"/>
        <item x="235"/>
        <item x="79"/>
        <item x="298"/>
        <item x="67"/>
        <item x="191"/>
        <item x="336"/>
        <item x="14"/>
        <item x="202"/>
        <item x="260"/>
        <item x="166"/>
        <item x="379"/>
        <item x="157"/>
        <item x="86"/>
        <item x="24"/>
        <item x="274"/>
        <item x="95"/>
        <item x="387"/>
        <item x="117"/>
        <item x="314"/>
        <item x="257"/>
        <item x="91"/>
        <item x="321"/>
        <item x="219"/>
        <item x="275"/>
        <item x="329"/>
        <item x="289"/>
        <item x="376"/>
        <item x="393"/>
        <item x="204"/>
        <item x="323"/>
        <item x="199"/>
        <item x="290"/>
        <item x="361"/>
        <item x="332"/>
        <item x="229"/>
        <item x="389"/>
        <item x="209"/>
        <item x="167"/>
        <item x="224"/>
        <item x="382"/>
        <item x="54"/>
        <item x="93"/>
        <item x="241"/>
        <item x="12"/>
        <item x="77"/>
        <item x="119"/>
        <item x="81"/>
        <item x="92"/>
        <item x="22"/>
        <item x="245"/>
        <item x="38"/>
        <item x="168"/>
        <item x="182"/>
        <item x="261"/>
        <item x="82"/>
        <item x="161"/>
        <item x="0"/>
        <item x="264"/>
        <item x="61"/>
        <item x="280"/>
        <item x="128"/>
        <item x="250"/>
        <item x="285"/>
        <item x="317"/>
        <item x="47"/>
        <item x="90"/>
        <item x="315"/>
        <item x="62"/>
        <item x="342"/>
        <item x="272"/>
        <item x="347"/>
        <item x="304"/>
        <item x="4"/>
        <item x="94"/>
        <item x="174"/>
        <item x="111"/>
        <item x="99"/>
        <item x="253"/>
        <item x="16"/>
        <item x="301"/>
        <item x="135"/>
        <item x="295"/>
        <item x="124"/>
        <item x="338"/>
        <item x="218"/>
        <item x="210"/>
        <item x="113"/>
        <item x="333"/>
        <item x="267"/>
        <item x="283"/>
        <item x="392"/>
        <item x="115"/>
        <item x="39"/>
        <item x="268"/>
        <item x="385"/>
        <item x="188"/>
        <item x="222"/>
        <item x="19"/>
        <item x="281"/>
        <item x="233"/>
        <item x="309"/>
        <item x="348"/>
        <item x="107"/>
        <item x="7"/>
        <item x="302"/>
        <item x="282"/>
        <item x="240"/>
        <item x="15"/>
        <item x="11"/>
        <item x="227"/>
        <item x="300"/>
        <item x="133"/>
        <item x="297"/>
        <item x="395"/>
        <item x="156"/>
        <item x="31"/>
        <item x="288"/>
        <item x="6"/>
        <item x="356"/>
        <item x="335"/>
        <item x="244"/>
        <item x="71"/>
        <item x="279"/>
        <item x="138"/>
        <item x="98"/>
        <item x="27"/>
        <item x="383"/>
        <item x="320"/>
        <item x="325"/>
        <item x="330"/>
        <item x="40"/>
        <item x="69"/>
        <item x="311"/>
        <item x="118"/>
        <item x="373"/>
        <item x="159"/>
        <item x="381"/>
        <item x="183"/>
        <item x="303"/>
        <item x="145"/>
        <item x="89"/>
        <item x="284"/>
        <item x="197"/>
        <item x="213"/>
        <item x="263"/>
        <item x="278"/>
        <item x="345"/>
        <item x="130"/>
        <item x="351"/>
        <item x="96"/>
        <item x="226"/>
        <item x="127"/>
        <item x="206"/>
        <item x="18"/>
        <item x="171"/>
        <item x="25"/>
        <item x="146"/>
        <item x="110"/>
        <item x="255"/>
        <item x="231"/>
        <item x="363"/>
        <item x="187"/>
        <item x="114"/>
        <item x="176"/>
        <item x="59"/>
        <item x="21"/>
        <item x="316"/>
        <item x="211"/>
        <item x="276"/>
        <item x="326"/>
        <item x="34"/>
        <item x="238"/>
        <item x="50"/>
        <item x="208"/>
        <item x="143"/>
        <item x="328"/>
        <item x="177"/>
        <item x="103"/>
        <item x="74"/>
        <item x="175"/>
        <item x="217"/>
        <item x="270"/>
        <item x="141"/>
        <item x="386"/>
        <item x="140"/>
        <item x="394"/>
        <item x="247"/>
        <item x="132"/>
        <item x="48"/>
        <item x="357"/>
        <item x="105"/>
        <item x="269"/>
        <item x="327"/>
        <item x="155"/>
        <item x="150"/>
        <item x="319"/>
        <item x="112"/>
        <item x="353"/>
        <item x="129"/>
        <item x="65"/>
        <item x="123"/>
        <item x="248"/>
        <item x="398"/>
        <item x="349"/>
        <item x="131"/>
        <item x="365"/>
        <item x="44"/>
        <item x="196"/>
        <item x="160"/>
        <item x="78"/>
        <item x="23"/>
        <item x="169"/>
        <item x="236"/>
        <item x="252"/>
        <item x="273"/>
        <item x="370"/>
        <item x="75"/>
        <item x="259"/>
        <item x="369"/>
        <item x="368"/>
        <item x="46"/>
        <item x="256"/>
        <item x="120"/>
        <item x="70"/>
        <item x="152"/>
        <item x="37"/>
        <item x="310"/>
        <item x="366"/>
        <item x="109"/>
        <item x="32"/>
        <item x="195"/>
        <item x="391"/>
        <item x="97"/>
        <item x="10"/>
        <item x="73"/>
        <item x="9"/>
        <item x="162"/>
        <item x="136"/>
        <item x="292"/>
        <item x="308"/>
        <item x="56"/>
        <item x="234"/>
        <item x="331"/>
        <item x="378"/>
        <item x="306"/>
        <item x="384"/>
        <item x="29"/>
        <item x="189"/>
        <item x="294"/>
        <item x="371"/>
        <item x="101"/>
        <item x="190"/>
        <item x="66"/>
        <item x="377"/>
        <item x="184"/>
        <item x="33"/>
        <item x="64"/>
        <item x="344"/>
        <item x="122"/>
        <item x="215"/>
        <item x="172"/>
        <item x="324"/>
        <item x="88"/>
        <item x="43"/>
        <item x="355"/>
        <item x="102"/>
        <item x="367"/>
        <item x="277"/>
        <item x="53"/>
        <item x="216"/>
        <item x="151"/>
        <item x="125"/>
        <item x="225"/>
        <item x="299"/>
        <item x="5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01">
        <item h="1" x="240"/>
        <item x="222"/>
        <item x="259"/>
        <item x="353"/>
        <item x="58"/>
        <item x="340"/>
        <item x="221"/>
        <item x="266"/>
        <item x="57"/>
        <item x="376"/>
        <item x="104"/>
        <item x="351"/>
        <item x="342"/>
        <item x="373"/>
        <item x="365"/>
        <item x="36"/>
        <item x="355"/>
        <item x="20"/>
        <item x="139"/>
        <item x="335"/>
        <item x="26"/>
        <item x="35"/>
        <item x="204"/>
        <item x="202"/>
        <item x="137"/>
        <item x="263"/>
        <item x="186"/>
        <item x="49"/>
        <item x="1"/>
        <item x="267"/>
        <item x="154"/>
        <item x="181"/>
        <item x="391"/>
        <item x="85"/>
        <item x="315"/>
        <item x="173"/>
        <item x="167"/>
        <item x="322"/>
        <item x="45"/>
        <item x="192"/>
        <item x="229"/>
        <item x="390"/>
        <item x="72"/>
        <item x="398"/>
        <item x="47"/>
        <item x="165"/>
        <item x="281"/>
        <item x="381"/>
        <item x="323"/>
        <item x="344"/>
        <item x="158"/>
        <item x="359"/>
        <item x="213"/>
        <item x="149"/>
        <item x="396"/>
        <item x="121"/>
        <item x="93"/>
        <item x="30"/>
        <item x="77"/>
        <item x="116"/>
        <item x="238"/>
        <item x="153"/>
        <item x="183"/>
        <item x="63"/>
        <item x="231"/>
        <item x="326"/>
        <item x="174"/>
        <item x="76"/>
        <item x="292"/>
        <item x="286"/>
        <item x="179"/>
        <item x="28"/>
        <item x="220"/>
        <item x="148"/>
        <item x="303"/>
        <item x="255"/>
        <item x="178"/>
        <item x="265"/>
        <item x="201"/>
        <item x="361"/>
        <item x="250"/>
        <item x="362"/>
        <item x="234"/>
        <item x="133"/>
        <item x="99"/>
        <item x="338"/>
        <item x="124"/>
        <item x="324"/>
        <item x="13"/>
        <item x="134"/>
        <item x="29"/>
        <item x="347"/>
        <item x="96"/>
        <item x="354"/>
        <item x="195"/>
        <item x="313"/>
        <item x="170"/>
        <item x="82"/>
        <item x="280"/>
        <item x="8"/>
        <item x="277"/>
        <item x="91"/>
        <item x="17"/>
        <item x="217"/>
        <item x="387"/>
        <item x="159"/>
        <item x="180"/>
        <item x="257"/>
        <item x="126"/>
        <item x="2"/>
        <item x="360"/>
        <item x="106"/>
        <item x="144"/>
        <item x="254"/>
        <item x="142"/>
        <item x="128"/>
        <item x="297"/>
        <item x="60"/>
        <item x="103"/>
        <item x="337"/>
        <item x="187"/>
        <item x="193"/>
        <item x="249"/>
        <item x="55"/>
        <item x="270"/>
        <item x="232"/>
        <item x="247"/>
        <item x="131"/>
        <item x="230"/>
        <item x="147"/>
        <item x="156"/>
        <item x="80"/>
        <item x="268"/>
        <item x="386"/>
        <item x="287"/>
        <item x="272"/>
        <item x="108"/>
        <item x="191"/>
        <item x="83"/>
        <item x="16"/>
        <item x="122"/>
        <item x="302"/>
        <item x="212"/>
        <item x="209"/>
        <item x="243"/>
        <item x="244"/>
        <item x="245"/>
        <item x="135"/>
        <item x="50"/>
        <item x="276"/>
        <item x="90"/>
        <item x="289"/>
        <item x="136"/>
        <item x="237"/>
        <item x="194"/>
        <item x="81"/>
        <item x="84"/>
        <item x="327"/>
        <item x="370"/>
        <item x="31"/>
        <item x="208"/>
        <item x="21"/>
        <item x="42"/>
        <item x="348"/>
        <item x="78"/>
        <item x="215"/>
        <item x="377"/>
        <item x="141"/>
        <item x="291"/>
        <item x="51"/>
        <item x="308"/>
        <item x="389"/>
        <item x="69"/>
        <item x="384"/>
        <item x="22"/>
        <item x="87"/>
        <item x="260"/>
        <item x="39"/>
        <item x="306"/>
        <item x="363"/>
        <item x="164"/>
        <item x="367"/>
        <item x="242"/>
        <item x="394"/>
        <item x="100"/>
        <item x="349"/>
        <item x="264"/>
        <item x="65"/>
        <item x="224"/>
        <item x="163"/>
        <item x="7"/>
        <item x="146"/>
        <item x="261"/>
        <item x="206"/>
        <item x="54"/>
        <item x="316"/>
        <item x="68"/>
        <item x="3"/>
        <item x="296"/>
        <item x="43"/>
        <item x="288"/>
        <item x="94"/>
        <item x="294"/>
        <item x="119"/>
        <item x="395"/>
        <item x="172"/>
        <item x="41"/>
        <item x="199"/>
        <item x="200"/>
        <item x="258"/>
        <item x="279"/>
        <item x="235"/>
        <item x="311"/>
        <item x="166"/>
        <item x="61"/>
        <item x="397"/>
        <item x="246"/>
        <item x="210"/>
        <item x="253"/>
        <item x="236"/>
        <item x="252"/>
        <item x="339"/>
        <item x="18"/>
        <item x="168"/>
        <item x="203"/>
        <item x="350"/>
        <item x="328"/>
        <item x="115"/>
        <item x="290"/>
        <item x="19"/>
        <item x="357"/>
        <item x="132"/>
        <item x="298"/>
        <item x="59"/>
        <item x="182"/>
        <item x="79"/>
        <item x="375"/>
        <item x="319"/>
        <item x="284"/>
        <item x="102"/>
        <item x="341"/>
        <item x="314"/>
        <item x="227"/>
        <item x="233"/>
        <item x="305"/>
        <item x="385"/>
        <item x="105"/>
        <item x="369"/>
        <item x="5"/>
        <item x="101"/>
        <item x="74"/>
        <item x="330"/>
        <item x="62"/>
        <item x="336"/>
        <item x="67"/>
        <item x="334"/>
        <item x="95"/>
        <item x="228"/>
        <item x="299"/>
        <item x="275"/>
        <item x="329"/>
        <item x="14"/>
        <item x="157"/>
        <item x="285"/>
        <item x="383"/>
        <item x="251"/>
        <item x="380"/>
        <item x="283"/>
        <item x="282"/>
        <item x="129"/>
        <item x="262"/>
        <item x="24"/>
        <item x="123"/>
        <item x="86"/>
        <item x="117"/>
        <item x="366"/>
        <item x="205"/>
        <item x="225"/>
        <item x="161"/>
        <item x="113"/>
        <item x="273"/>
        <item x="40"/>
        <item x="92"/>
        <item x="321"/>
        <item x="388"/>
        <item x="127"/>
        <item x="318"/>
        <item x="333"/>
        <item x="269"/>
        <item x="274"/>
        <item x="12"/>
        <item x="239"/>
        <item x="0"/>
        <item x="66"/>
        <item x="356"/>
        <item x="38"/>
        <item x="111"/>
        <item x="71"/>
        <item x="23"/>
        <item x="256"/>
        <item x="189"/>
        <item x="241"/>
        <item x="15"/>
        <item x="346"/>
        <item x="310"/>
        <item x="171"/>
        <item x="52"/>
        <item x="10"/>
        <item x="6"/>
        <item x="364"/>
        <item x="177"/>
        <item x="138"/>
        <item x="343"/>
        <item x="393"/>
        <item x="320"/>
        <item x="11"/>
        <item x="98"/>
        <item x="107"/>
        <item x="125"/>
        <item x="140"/>
        <item x="331"/>
        <item x="120"/>
        <item x="143"/>
        <item x="4"/>
        <item x="211"/>
        <item x="32"/>
        <item x="392"/>
        <item x="97"/>
        <item x="27"/>
        <item x="382"/>
        <item x="219"/>
        <item x="37"/>
        <item x="155"/>
        <item x="196"/>
        <item x="223"/>
        <item x="114"/>
        <item x="44"/>
        <item x="358"/>
        <item x="226"/>
        <item x="301"/>
        <item x="48"/>
        <item x="312"/>
        <item x="110"/>
        <item x="214"/>
        <item x="34"/>
        <item x="162"/>
        <item x="160"/>
        <item x="130"/>
        <item x="197"/>
        <item x="374"/>
        <item x="145"/>
        <item x="25"/>
        <item x="317"/>
        <item x="70"/>
        <item x="118"/>
        <item x="207"/>
        <item x="248"/>
        <item x="184"/>
        <item x="198"/>
        <item x="150"/>
        <item x="309"/>
        <item x="304"/>
        <item x="218"/>
        <item x="332"/>
        <item x="271"/>
        <item x="112"/>
        <item x="188"/>
        <item x="169"/>
        <item x="89"/>
        <item x="176"/>
        <item x="352"/>
        <item x="73"/>
        <item x="109"/>
        <item x="46"/>
        <item x="293"/>
        <item x="175"/>
        <item x="325"/>
        <item x="88"/>
        <item x="295"/>
        <item x="399"/>
        <item x="371"/>
        <item x="33"/>
        <item x="152"/>
        <item x="379"/>
        <item x="75"/>
        <item x="64"/>
        <item x="151"/>
        <item x="300"/>
        <item x="9"/>
        <item x="216"/>
        <item x="372"/>
        <item x="378"/>
        <item x="278"/>
        <item x="53"/>
        <item x="185"/>
        <item x="56"/>
        <item x="368"/>
        <item x="190"/>
        <item x="307"/>
        <item x="345"/>
        <item t="default"/>
      </items>
      <extLst>
        <ext xmlns:x14="http://schemas.microsoft.com/office/spreadsheetml/2009/9/main" uri="{2946ED86-A175-432a-8AC1-64E0C546D7DE}">
          <x14:pivotField fillDownLabels="1"/>
        </ext>
      </extLst>
    </pivotField>
    <pivotField compact="0" outline="0" showAll="0">
      <items count="32">
        <item x="23"/>
        <item x="17"/>
        <item x="21"/>
        <item x="16"/>
        <item x="14"/>
        <item x="22"/>
        <item x="2"/>
        <item x="4"/>
        <item x="1"/>
        <item x="27"/>
        <item x="0"/>
        <item x="12"/>
        <item x="7"/>
        <item x="11"/>
        <item x="18"/>
        <item x="20"/>
        <item x="24"/>
        <item x="3"/>
        <item x="6"/>
        <item x="26"/>
        <item x="13"/>
        <item x="5"/>
        <item x="30"/>
        <item x="15"/>
        <item x="19"/>
        <item x="9"/>
        <item x="25"/>
        <item x="8"/>
        <item x="10"/>
        <item x="28"/>
        <item x="29"/>
        <item t="default"/>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3"/>
    <field x="2"/>
  </rowFields>
  <rowItems count="16">
    <i>
      <x/>
      <x/>
    </i>
    <i r="1">
      <x v="1"/>
    </i>
    <i r="1">
      <x v="2"/>
    </i>
    <i r="1">
      <x v="3"/>
    </i>
    <i t="default">
      <x/>
    </i>
    <i>
      <x v="1"/>
      <x/>
    </i>
    <i r="1">
      <x v="1"/>
    </i>
    <i r="1">
      <x v="2"/>
    </i>
    <i r="1">
      <x v="3"/>
    </i>
    <i t="default">
      <x v="1"/>
    </i>
    <i>
      <x v="2"/>
      <x/>
    </i>
    <i r="1">
      <x v="1"/>
    </i>
    <i r="1">
      <x v="2"/>
    </i>
    <i r="1">
      <x v="3"/>
    </i>
    <i t="default">
      <x v="2"/>
    </i>
    <i t="grand">
      <x/>
    </i>
  </rowItems>
  <colFields count="1">
    <field x="-2"/>
  </colFields>
  <colItems count="2">
    <i>
      <x/>
    </i>
    <i i="1">
      <x v="1"/>
    </i>
  </colItems>
  <dataFields count="2">
    <dataField name="Sum of Sales" fld="8" baseField="0" baseItem="0"/>
    <dataField name="Sum of Profit" fld="10"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3">
          <reference field="4294967294" count="1" selected="0">
            <x v="0"/>
          </reference>
          <reference field="2" count="1" selected="0">
            <x v="0"/>
          </reference>
          <reference field="3" count="1" selected="0">
            <x v="0"/>
          </reference>
        </references>
      </pivotArea>
    </chartFormat>
    <chartFormat chart="3" format="18">
      <pivotArea type="data" outline="0" fieldPosition="0">
        <references count="3">
          <reference field="4294967294" count="1" selected="0">
            <x v="0"/>
          </reference>
          <reference field="2" count="1" selected="0">
            <x v="1"/>
          </reference>
          <reference field="3" count="1" selected="0">
            <x v="0"/>
          </reference>
        </references>
      </pivotArea>
    </chartFormat>
    <chartFormat chart="3" format="19">
      <pivotArea type="data" outline="0" fieldPosition="0">
        <references count="3">
          <reference field="4294967294" count="1" selected="0">
            <x v="0"/>
          </reference>
          <reference field="2" count="1" selected="0">
            <x v="2"/>
          </reference>
          <reference field="3" count="1" selected="0">
            <x v="0"/>
          </reference>
        </references>
      </pivotArea>
    </chartFormat>
    <chartFormat chart="3" format="20">
      <pivotArea type="data" outline="0" fieldPosition="0">
        <references count="3">
          <reference field="4294967294" count="1" selected="0">
            <x v="0"/>
          </reference>
          <reference field="2" count="1" selected="0">
            <x v="3"/>
          </reference>
          <reference field="3" count="1" selected="0">
            <x v="0"/>
          </reference>
        </references>
      </pivotArea>
    </chartFormat>
    <chartFormat chart="3" format="21">
      <pivotArea type="data" outline="0" fieldPosition="0">
        <references count="3">
          <reference field="4294967294" count="1" selected="0">
            <x v="0"/>
          </reference>
          <reference field="2" count="1" selected="0">
            <x v="0"/>
          </reference>
          <reference field="3" count="1" selected="0">
            <x v="1"/>
          </reference>
        </references>
      </pivotArea>
    </chartFormat>
    <chartFormat chart="3" format="22">
      <pivotArea type="data" outline="0" fieldPosition="0">
        <references count="3">
          <reference field="4294967294" count="1" selected="0">
            <x v="0"/>
          </reference>
          <reference field="2" count="1" selected="0">
            <x v="1"/>
          </reference>
          <reference field="3" count="1" selected="0">
            <x v="1"/>
          </reference>
        </references>
      </pivotArea>
    </chartFormat>
    <chartFormat chart="3" format="23">
      <pivotArea type="data" outline="0" fieldPosition="0">
        <references count="3">
          <reference field="4294967294" count="1" selected="0">
            <x v="0"/>
          </reference>
          <reference field="2" count="1" selected="0">
            <x v="2"/>
          </reference>
          <reference field="3" count="1" selected="0">
            <x v="1"/>
          </reference>
        </references>
      </pivotArea>
    </chartFormat>
    <chartFormat chart="3" format="24">
      <pivotArea type="data" outline="0" fieldPosition="0">
        <references count="3">
          <reference field="4294967294" count="1" selected="0">
            <x v="0"/>
          </reference>
          <reference field="2" count="1" selected="0">
            <x v="3"/>
          </reference>
          <reference field="3" count="1" selected="0">
            <x v="1"/>
          </reference>
        </references>
      </pivotArea>
    </chartFormat>
    <chartFormat chart="3" format="25">
      <pivotArea type="data" outline="0" fieldPosition="0">
        <references count="3">
          <reference field="4294967294" count="1" selected="0">
            <x v="0"/>
          </reference>
          <reference field="2" count="1" selected="0">
            <x v="0"/>
          </reference>
          <reference field="3" count="1" selected="0">
            <x v="2"/>
          </reference>
        </references>
      </pivotArea>
    </chartFormat>
    <chartFormat chart="3" format="26">
      <pivotArea type="data" outline="0" fieldPosition="0">
        <references count="3">
          <reference field="4294967294" count="1" selected="0">
            <x v="0"/>
          </reference>
          <reference field="2" count="1" selected="0">
            <x v="1"/>
          </reference>
          <reference field="3" count="1" selected="0">
            <x v="2"/>
          </reference>
        </references>
      </pivotArea>
    </chartFormat>
    <chartFormat chart="3" format="27">
      <pivotArea type="data" outline="0" fieldPosition="0">
        <references count="3">
          <reference field="4294967294" count="1" selected="0">
            <x v="0"/>
          </reference>
          <reference field="2" count="1" selected="0">
            <x v="2"/>
          </reference>
          <reference field="3" count="1" selected="0">
            <x v="2"/>
          </reference>
        </references>
      </pivotArea>
    </chartFormat>
    <chartFormat chart="3" format="28">
      <pivotArea type="data" outline="0" fieldPosition="0">
        <references count="3">
          <reference field="4294967294" count="1" selected="0">
            <x v="0"/>
          </reference>
          <reference field="2" count="1" selected="0">
            <x v="3"/>
          </reference>
          <reference field="3" count="1" selected="0">
            <x v="2"/>
          </reference>
        </references>
      </pivotArea>
    </chartFormat>
    <chartFormat chart="3" format="29" series="1">
      <pivotArea type="data" outline="0" fieldPosition="0">
        <references count="1">
          <reference field="4294967294" count="1" selected="0">
            <x v="1"/>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C4576C-B7FC-444C-BD85-960E49ABD929}" name="PivotTable1"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6" firstHeaderRow="1" firstDataRow="1" firstDataCol="1"/>
  <pivotFields count="14">
    <pivotField showAll="0"/>
    <pivotField numFmtId="164" showAll="0">
      <items count="234">
        <item x="3"/>
        <item x="184"/>
        <item x="201"/>
        <item x="231"/>
        <item x="218"/>
        <item x="221"/>
        <item x="117"/>
        <item x="127"/>
        <item x="119"/>
        <item x="167"/>
        <item x="65"/>
        <item x="214"/>
        <item x="2"/>
        <item x="23"/>
        <item x="42"/>
        <item x="98"/>
        <item x="141"/>
        <item x="134"/>
        <item x="89"/>
        <item x="35"/>
        <item x="179"/>
        <item x="39"/>
        <item x="6"/>
        <item x="206"/>
        <item x="229"/>
        <item x="75"/>
        <item x="114"/>
        <item x="27"/>
        <item x="145"/>
        <item x="108"/>
        <item x="110"/>
        <item x="192"/>
        <item x="7"/>
        <item x="44"/>
        <item x="118"/>
        <item x="211"/>
        <item x="126"/>
        <item x="203"/>
        <item x="101"/>
        <item x="17"/>
        <item x="41"/>
        <item x="45"/>
        <item x="30"/>
        <item x="80"/>
        <item x="22"/>
        <item x="4"/>
        <item x="112"/>
        <item x="135"/>
        <item x="49"/>
        <item x="232"/>
        <item x="190"/>
        <item x="91"/>
        <item x="160"/>
        <item x="46"/>
        <item x="47"/>
        <item x="52"/>
        <item x="196"/>
        <item x="67"/>
        <item x="58"/>
        <item x="198"/>
        <item x="77"/>
        <item x="130"/>
        <item x="74"/>
        <item x="129"/>
        <item x="125"/>
        <item x="150"/>
        <item x="107"/>
        <item x="188"/>
        <item x="162"/>
        <item x="153"/>
        <item x="86"/>
        <item x="61"/>
        <item x="204"/>
        <item x="64"/>
        <item x="220"/>
        <item x="100"/>
        <item x="43"/>
        <item x="178"/>
        <item x="16"/>
        <item x="121"/>
        <item x="9"/>
        <item x="185"/>
        <item x="171"/>
        <item x="87"/>
        <item x="172"/>
        <item x="120"/>
        <item x="56"/>
        <item x="199"/>
        <item x="207"/>
        <item x="170"/>
        <item x="29"/>
        <item x="189"/>
        <item x="48"/>
        <item x="111"/>
        <item x="96"/>
        <item x="88"/>
        <item x="144"/>
        <item x="60"/>
        <item x="219"/>
        <item x="209"/>
        <item x="138"/>
        <item x="82"/>
        <item x="57"/>
        <item x="210"/>
        <item x="99"/>
        <item x="54"/>
        <item x="191"/>
        <item x="104"/>
        <item x="68"/>
        <item x="95"/>
        <item x="194"/>
        <item x="182"/>
        <item x="78"/>
        <item x="186"/>
        <item x="195"/>
        <item x="94"/>
        <item x="13"/>
        <item x="183"/>
        <item x="155"/>
        <item x="69"/>
        <item x="149"/>
        <item x="176"/>
        <item x="139"/>
        <item x="165"/>
        <item x="32"/>
        <item x="147"/>
        <item x="21"/>
        <item x="133"/>
        <item x="168"/>
        <item x="225"/>
        <item x="166"/>
        <item x="97"/>
        <item x="28"/>
        <item x="200"/>
        <item x="93"/>
        <item x="83"/>
        <item x="116"/>
        <item x="81"/>
        <item x="137"/>
        <item x="63"/>
        <item x="173"/>
        <item x="161"/>
        <item x="228"/>
        <item x="37"/>
        <item x="158"/>
        <item x="19"/>
        <item x="208"/>
        <item x="31"/>
        <item x="174"/>
        <item x="212"/>
        <item x="15"/>
        <item x="154"/>
        <item x="151"/>
        <item x="73"/>
        <item x="122"/>
        <item x="123"/>
        <item x="132"/>
        <item x="128"/>
        <item x="148"/>
        <item x="59"/>
        <item x="205"/>
        <item x="164"/>
        <item x="177"/>
        <item x="55"/>
        <item x="92"/>
        <item x="217"/>
        <item x="103"/>
        <item x="152"/>
        <item x="223"/>
        <item x="76"/>
        <item x="156"/>
        <item x="1"/>
        <item x="38"/>
        <item x="202"/>
        <item x="224"/>
        <item x="12"/>
        <item x="11"/>
        <item x="227"/>
        <item x="50"/>
        <item x="157"/>
        <item x="62"/>
        <item x="53"/>
        <item x="72"/>
        <item x="113"/>
        <item x="34"/>
        <item x="222"/>
        <item x="40"/>
        <item x="25"/>
        <item x="90"/>
        <item x="33"/>
        <item x="109"/>
        <item x="131"/>
        <item x="0"/>
        <item x="163"/>
        <item x="175"/>
        <item x="106"/>
        <item x="124"/>
        <item x="213"/>
        <item x="70"/>
        <item x="102"/>
        <item x="146"/>
        <item x="181"/>
        <item x="140"/>
        <item x="5"/>
        <item x="10"/>
        <item x="143"/>
        <item x="24"/>
        <item x="216"/>
        <item x="215"/>
        <item x="159"/>
        <item x="180"/>
        <item x="226"/>
        <item x="14"/>
        <item x="18"/>
        <item x="193"/>
        <item x="51"/>
        <item x="20"/>
        <item x="115"/>
        <item x="230"/>
        <item x="71"/>
        <item x="79"/>
        <item x="169"/>
        <item x="8"/>
        <item x="84"/>
        <item x="142"/>
        <item x="187"/>
        <item x="66"/>
        <item x="36"/>
        <item x="26"/>
        <item x="136"/>
        <item x="105"/>
        <item x="197"/>
        <item x="85"/>
        <item t="default"/>
      </items>
    </pivotField>
    <pivotField showAll="0">
      <items count="5">
        <item x="2"/>
        <item x="3"/>
        <item x="1"/>
        <item x="0"/>
        <item t="default"/>
      </items>
    </pivotField>
    <pivotField axis="axisRow" showAll="0">
      <items count="4">
        <item x="2"/>
        <item x="1"/>
        <item x="0"/>
        <item t="default"/>
      </items>
    </pivotField>
    <pivotField showAll="0"/>
    <pivotField dataField="1" showAll="0">
      <items count="40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0"/>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1"/>
        <item x="28"/>
        <item x="298"/>
        <item x="299"/>
        <item x="300"/>
        <item x="301"/>
        <item x="302"/>
        <item x="303"/>
        <item x="304"/>
        <item x="305"/>
        <item x="306"/>
        <item x="307"/>
        <item x="29"/>
        <item x="308"/>
        <item x="309"/>
        <item x="310"/>
        <item x="311"/>
        <item x="312"/>
        <item x="313"/>
        <item x="314"/>
        <item x="315"/>
        <item x="316"/>
        <item x="317"/>
        <item x="30"/>
        <item x="318"/>
        <item x="319"/>
        <item x="320"/>
        <item x="321"/>
        <item x="322"/>
        <item x="323"/>
        <item x="324"/>
        <item x="325"/>
        <item x="326"/>
        <item x="327"/>
        <item x="31"/>
        <item x="328"/>
        <item x="329"/>
        <item x="330"/>
        <item x="331"/>
        <item x="332"/>
        <item x="333"/>
        <item x="334"/>
        <item x="335"/>
        <item x="336"/>
        <item x="337"/>
        <item x="32"/>
        <item x="338"/>
        <item x="339"/>
        <item x="340"/>
        <item x="341"/>
        <item x="342"/>
        <item x="343"/>
        <item x="344"/>
        <item x="345"/>
        <item x="346"/>
        <item x="347"/>
        <item x="33"/>
        <item x="348"/>
        <item x="349"/>
        <item x="350"/>
        <item x="351"/>
        <item x="352"/>
        <item x="353"/>
        <item x="354"/>
        <item x="355"/>
        <item x="356"/>
        <item x="357"/>
        <item x="34"/>
        <item x="358"/>
        <item x="359"/>
        <item x="360"/>
        <item x="361"/>
        <item x="362"/>
        <item x="363"/>
        <item x="364"/>
        <item x="365"/>
        <item x="366"/>
        <item x="367"/>
        <item x="35"/>
        <item x="368"/>
        <item x="369"/>
        <item x="370"/>
        <item x="371"/>
        <item x="372"/>
        <item x="373"/>
        <item x="374"/>
        <item x="375"/>
        <item x="376"/>
        <item x="377"/>
        <item x="36"/>
        <item x="378"/>
        <item x="379"/>
        <item x="380"/>
        <item x="381"/>
        <item x="382"/>
        <item x="383"/>
        <item x="384"/>
        <item x="385"/>
        <item x="386"/>
        <item x="387"/>
        <item x="37"/>
        <item x="388"/>
        <item x="389"/>
        <item x="390"/>
        <item x="391"/>
        <item x="392"/>
        <item x="393"/>
        <item x="394"/>
        <item x="395"/>
        <item x="396"/>
        <item x="397"/>
        <item x="2"/>
        <item x="38"/>
        <item x="398"/>
        <item x="399"/>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items count="400">
        <item x="341"/>
        <item x="239"/>
        <item x="221"/>
        <item x="262"/>
        <item x="372"/>
        <item x="228"/>
        <item x="36"/>
        <item x="265"/>
        <item x="350"/>
        <item x="181"/>
        <item x="258"/>
        <item x="104"/>
        <item x="26"/>
        <item x="266"/>
        <item x="85"/>
        <item x="354"/>
        <item x="45"/>
        <item x="1"/>
        <item x="58"/>
        <item x="201"/>
        <item x="343"/>
        <item x="57"/>
        <item x="35"/>
        <item x="220"/>
        <item x="30"/>
        <item x="116"/>
        <item x="153"/>
        <item x="375"/>
        <item x="178"/>
        <item x="185"/>
        <item x="139"/>
        <item x="230"/>
        <item x="380"/>
        <item x="148"/>
        <item x="390"/>
        <item x="337"/>
        <item x="254"/>
        <item x="20"/>
        <item x="180"/>
        <item x="121"/>
        <item x="173"/>
        <item x="2"/>
        <item x="76"/>
        <item x="352"/>
        <item x="8"/>
        <item x="165"/>
        <item x="63"/>
        <item x="312"/>
        <item x="339"/>
        <item x="134"/>
        <item x="249"/>
        <item x="170"/>
        <item x="83"/>
        <item x="359"/>
        <item x="80"/>
        <item x="147"/>
        <item x="322"/>
        <item x="55"/>
        <item x="60"/>
        <item x="51"/>
        <item x="84"/>
        <item x="397"/>
        <item x="291"/>
        <item x="307"/>
        <item x="246"/>
        <item x="186"/>
        <item x="154"/>
        <item x="144"/>
        <item x="203"/>
        <item x="72"/>
        <item x="287"/>
        <item x="28"/>
        <item x="87"/>
        <item x="360"/>
        <item x="271"/>
        <item x="108"/>
        <item x="142"/>
        <item x="126"/>
        <item x="358"/>
        <item x="41"/>
        <item x="192"/>
        <item x="194"/>
        <item x="193"/>
        <item x="198"/>
        <item x="296"/>
        <item x="364"/>
        <item x="205"/>
        <item x="179"/>
        <item x="346"/>
        <item x="100"/>
        <item x="293"/>
        <item x="388"/>
        <item x="334"/>
        <item x="163"/>
        <item x="207"/>
        <item x="362"/>
        <item x="212"/>
        <item x="340"/>
        <item x="237"/>
        <item x="286"/>
        <item x="396"/>
        <item x="251"/>
        <item x="5"/>
        <item x="374"/>
        <item x="68"/>
        <item x="313"/>
        <item x="49"/>
        <item x="17"/>
        <item x="232"/>
        <item x="137"/>
        <item x="243"/>
        <item x="158"/>
        <item x="3"/>
        <item x="305"/>
        <item x="223"/>
        <item x="214"/>
        <item x="242"/>
        <item x="200"/>
        <item x="149"/>
        <item x="106"/>
        <item x="42"/>
        <item x="318"/>
        <item x="164"/>
        <item x="13"/>
        <item x="235"/>
        <item x="79"/>
        <item x="298"/>
        <item x="67"/>
        <item x="191"/>
        <item x="336"/>
        <item x="14"/>
        <item x="202"/>
        <item x="260"/>
        <item x="166"/>
        <item x="379"/>
        <item x="157"/>
        <item x="86"/>
        <item x="24"/>
        <item x="274"/>
        <item x="95"/>
        <item x="387"/>
        <item x="117"/>
        <item x="314"/>
        <item x="257"/>
        <item x="91"/>
        <item x="321"/>
        <item x="219"/>
        <item x="275"/>
        <item x="329"/>
        <item x="289"/>
        <item x="376"/>
        <item x="393"/>
        <item x="204"/>
        <item x="323"/>
        <item x="199"/>
        <item x="290"/>
        <item x="361"/>
        <item x="332"/>
        <item x="229"/>
        <item x="389"/>
        <item x="209"/>
        <item x="167"/>
        <item x="224"/>
        <item x="382"/>
        <item x="54"/>
        <item x="93"/>
        <item x="241"/>
        <item x="12"/>
        <item x="77"/>
        <item x="119"/>
        <item x="81"/>
        <item x="92"/>
        <item x="22"/>
        <item x="245"/>
        <item x="38"/>
        <item x="168"/>
        <item x="182"/>
        <item x="261"/>
        <item x="82"/>
        <item x="161"/>
        <item x="0"/>
        <item x="264"/>
        <item x="61"/>
        <item x="280"/>
        <item x="128"/>
        <item x="250"/>
        <item x="285"/>
        <item x="317"/>
        <item x="47"/>
        <item x="90"/>
        <item x="315"/>
        <item x="62"/>
        <item x="342"/>
        <item x="272"/>
        <item x="347"/>
        <item x="304"/>
        <item x="4"/>
        <item x="94"/>
        <item x="174"/>
        <item x="111"/>
        <item x="99"/>
        <item x="253"/>
        <item x="16"/>
        <item x="301"/>
        <item x="135"/>
        <item x="295"/>
        <item x="124"/>
        <item x="338"/>
        <item x="218"/>
        <item x="210"/>
        <item x="113"/>
        <item x="333"/>
        <item x="267"/>
        <item x="283"/>
        <item x="392"/>
        <item x="115"/>
        <item x="39"/>
        <item x="268"/>
        <item x="385"/>
        <item x="188"/>
        <item x="222"/>
        <item x="19"/>
        <item x="281"/>
        <item x="233"/>
        <item x="309"/>
        <item x="348"/>
        <item x="107"/>
        <item x="7"/>
        <item x="302"/>
        <item x="282"/>
        <item x="240"/>
        <item x="15"/>
        <item x="11"/>
        <item x="227"/>
        <item x="300"/>
        <item x="133"/>
        <item x="297"/>
        <item x="395"/>
        <item x="156"/>
        <item x="31"/>
        <item x="288"/>
        <item x="6"/>
        <item x="356"/>
        <item x="335"/>
        <item x="244"/>
        <item x="71"/>
        <item x="279"/>
        <item x="138"/>
        <item x="98"/>
        <item x="27"/>
        <item x="383"/>
        <item x="320"/>
        <item x="325"/>
        <item x="330"/>
        <item x="40"/>
        <item x="69"/>
        <item x="311"/>
        <item x="118"/>
        <item x="373"/>
        <item x="159"/>
        <item x="381"/>
        <item x="183"/>
        <item x="303"/>
        <item x="145"/>
        <item x="89"/>
        <item x="284"/>
        <item x="197"/>
        <item x="213"/>
        <item x="263"/>
        <item x="278"/>
        <item x="345"/>
        <item x="130"/>
        <item x="351"/>
        <item x="96"/>
        <item x="226"/>
        <item x="127"/>
        <item x="206"/>
        <item x="18"/>
        <item x="171"/>
        <item x="25"/>
        <item x="146"/>
        <item x="110"/>
        <item x="255"/>
        <item x="231"/>
        <item x="363"/>
        <item x="187"/>
        <item x="114"/>
        <item x="176"/>
        <item x="59"/>
        <item x="21"/>
        <item x="316"/>
        <item x="211"/>
        <item x="276"/>
        <item x="326"/>
        <item x="34"/>
        <item x="238"/>
        <item x="50"/>
        <item x="208"/>
        <item x="143"/>
        <item x="328"/>
        <item x="177"/>
        <item x="103"/>
        <item x="74"/>
        <item x="175"/>
        <item x="217"/>
        <item x="270"/>
        <item x="141"/>
        <item x="386"/>
        <item x="140"/>
        <item x="394"/>
        <item x="247"/>
        <item x="132"/>
        <item x="48"/>
        <item x="357"/>
        <item x="105"/>
        <item x="269"/>
        <item x="327"/>
        <item x="155"/>
        <item x="150"/>
        <item x="319"/>
        <item x="112"/>
        <item x="353"/>
        <item x="129"/>
        <item x="65"/>
        <item x="123"/>
        <item x="248"/>
        <item x="398"/>
        <item x="349"/>
        <item x="131"/>
        <item x="365"/>
        <item x="44"/>
        <item x="196"/>
        <item x="160"/>
        <item x="78"/>
        <item x="23"/>
        <item x="169"/>
        <item x="236"/>
        <item x="252"/>
        <item x="273"/>
        <item x="370"/>
        <item x="75"/>
        <item x="259"/>
        <item x="369"/>
        <item x="368"/>
        <item x="46"/>
        <item x="256"/>
        <item x="120"/>
        <item x="70"/>
        <item x="152"/>
        <item x="37"/>
        <item x="310"/>
        <item x="366"/>
        <item x="109"/>
        <item x="32"/>
        <item x="195"/>
        <item x="391"/>
        <item x="97"/>
        <item x="10"/>
        <item x="73"/>
        <item x="9"/>
        <item x="162"/>
        <item x="136"/>
        <item x="292"/>
        <item x="308"/>
        <item x="56"/>
        <item x="234"/>
        <item x="331"/>
        <item x="378"/>
        <item x="306"/>
        <item x="384"/>
        <item x="29"/>
        <item x="189"/>
        <item x="294"/>
        <item x="371"/>
        <item x="101"/>
        <item x="190"/>
        <item x="66"/>
        <item x="377"/>
        <item x="184"/>
        <item x="33"/>
        <item x="64"/>
        <item x="344"/>
        <item x="122"/>
        <item x="215"/>
        <item x="172"/>
        <item x="324"/>
        <item x="88"/>
        <item x="43"/>
        <item x="355"/>
        <item x="102"/>
        <item x="367"/>
        <item x="277"/>
        <item x="53"/>
        <item x="216"/>
        <item x="151"/>
        <item x="125"/>
        <item x="225"/>
        <item x="299"/>
        <item x="52"/>
        <item t="default"/>
      </items>
    </pivotField>
    <pivotField showAll="0"/>
    <pivotField showAll="0"/>
    <pivotField showAll="0">
      <items count="32">
        <item x="23"/>
        <item x="17"/>
        <item x="21"/>
        <item x="16"/>
        <item x="14"/>
        <item x="22"/>
        <item x="2"/>
        <item x="4"/>
        <item x="1"/>
        <item x="27"/>
        <item x="0"/>
        <item x="12"/>
        <item x="7"/>
        <item x="11"/>
        <item x="18"/>
        <item x="20"/>
        <item x="24"/>
        <item x="3"/>
        <item x="6"/>
        <item x="26"/>
        <item x="13"/>
        <item x="5"/>
        <item x="30"/>
        <item x="15"/>
        <item x="19"/>
        <item x="9"/>
        <item x="25"/>
        <item x="8"/>
        <item x="10"/>
        <item x="28"/>
        <item x="2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x v="2"/>
    </i>
  </rowItems>
  <colItems count="1">
    <i/>
  </colItems>
  <dataFields count="1">
    <dataField name="Count of Product" fld="5"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876594-0355-41AE-A841-F2AB98FF1EDB}" name="PivotTable2"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5" firstHeaderRow="1" firstDataRow="1" firstDataCol="1"/>
  <pivotFields count="14">
    <pivotField showAll="0"/>
    <pivotField axis="axisRow" numFmtId="164" showAll="0">
      <items count="234">
        <item x="3"/>
        <item x="184"/>
        <item x="201"/>
        <item x="231"/>
        <item x="218"/>
        <item x="221"/>
        <item x="117"/>
        <item x="127"/>
        <item x="119"/>
        <item x="167"/>
        <item x="65"/>
        <item x="214"/>
        <item x="2"/>
        <item x="23"/>
        <item x="42"/>
        <item x="98"/>
        <item x="141"/>
        <item x="134"/>
        <item x="89"/>
        <item x="35"/>
        <item x="179"/>
        <item x="39"/>
        <item x="6"/>
        <item x="206"/>
        <item x="229"/>
        <item x="75"/>
        <item x="114"/>
        <item x="27"/>
        <item x="145"/>
        <item x="108"/>
        <item x="110"/>
        <item x="192"/>
        <item x="7"/>
        <item x="44"/>
        <item x="118"/>
        <item x="211"/>
        <item x="126"/>
        <item x="203"/>
        <item x="101"/>
        <item x="17"/>
        <item x="41"/>
        <item x="45"/>
        <item x="30"/>
        <item x="80"/>
        <item x="22"/>
        <item x="4"/>
        <item x="112"/>
        <item x="135"/>
        <item x="49"/>
        <item x="232"/>
        <item x="190"/>
        <item x="91"/>
        <item x="160"/>
        <item x="46"/>
        <item x="47"/>
        <item x="52"/>
        <item x="196"/>
        <item x="67"/>
        <item x="58"/>
        <item x="198"/>
        <item x="77"/>
        <item x="130"/>
        <item x="74"/>
        <item x="129"/>
        <item x="125"/>
        <item x="150"/>
        <item x="107"/>
        <item x="188"/>
        <item x="162"/>
        <item x="153"/>
        <item x="86"/>
        <item x="61"/>
        <item x="204"/>
        <item x="64"/>
        <item x="220"/>
        <item x="100"/>
        <item x="43"/>
        <item x="178"/>
        <item x="16"/>
        <item x="121"/>
        <item x="9"/>
        <item x="185"/>
        <item x="171"/>
        <item x="87"/>
        <item x="172"/>
        <item x="120"/>
        <item x="56"/>
        <item x="199"/>
        <item x="207"/>
        <item x="170"/>
        <item x="29"/>
        <item x="189"/>
        <item x="48"/>
        <item x="111"/>
        <item x="96"/>
        <item x="88"/>
        <item x="144"/>
        <item x="60"/>
        <item x="219"/>
        <item x="209"/>
        <item x="138"/>
        <item x="82"/>
        <item x="57"/>
        <item x="210"/>
        <item x="99"/>
        <item x="54"/>
        <item x="191"/>
        <item x="104"/>
        <item x="68"/>
        <item x="95"/>
        <item x="194"/>
        <item x="182"/>
        <item x="78"/>
        <item x="186"/>
        <item x="195"/>
        <item x="94"/>
        <item x="13"/>
        <item x="183"/>
        <item x="155"/>
        <item x="69"/>
        <item x="149"/>
        <item x="176"/>
        <item x="139"/>
        <item x="165"/>
        <item x="32"/>
        <item x="147"/>
        <item x="21"/>
        <item x="133"/>
        <item x="168"/>
        <item x="225"/>
        <item x="166"/>
        <item x="97"/>
        <item x="28"/>
        <item x="200"/>
        <item x="93"/>
        <item x="83"/>
        <item x="116"/>
        <item x="81"/>
        <item x="137"/>
        <item x="63"/>
        <item x="173"/>
        <item x="161"/>
        <item x="228"/>
        <item x="37"/>
        <item x="158"/>
        <item h="1" x="19"/>
        <item x="208"/>
        <item x="31"/>
        <item x="174"/>
        <item x="212"/>
        <item x="15"/>
        <item x="154"/>
        <item x="151"/>
        <item x="73"/>
        <item x="122"/>
        <item x="123"/>
        <item x="132"/>
        <item x="128"/>
        <item x="148"/>
        <item x="59"/>
        <item x="205"/>
        <item x="164"/>
        <item x="177"/>
        <item x="55"/>
        <item x="92"/>
        <item x="217"/>
        <item x="103"/>
        <item x="152"/>
        <item x="223"/>
        <item x="76"/>
        <item x="156"/>
        <item x="1"/>
        <item x="38"/>
        <item x="202"/>
        <item x="224"/>
        <item x="12"/>
        <item x="11"/>
        <item x="227"/>
        <item x="50"/>
        <item x="157"/>
        <item x="62"/>
        <item x="53"/>
        <item x="72"/>
        <item x="113"/>
        <item x="34"/>
        <item x="222"/>
        <item x="40"/>
        <item x="25"/>
        <item x="90"/>
        <item x="33"/>
        <item x="109"/>
        <item x="131"/>
        <item x="0"/>
        <item x="163"/>
        <item x="175"/>
        <item x="106"/>
        <item x="124"/>
        <item x="213"/>
        <item x="70"/>
        <item x="102"/>
        <item x="146"/>
        <item x="181"/>
        <item x="140"/>
        <item x="5"/>
        <item x="10"/>
        <item x="143"/>
        <item x="24"/>
        <item x="216"/>
        <item x="215"/>
        <item x="159"/>
        <item x="180"/>
        <item x="226"/>
        <item x="14"/>
        <item x="18"/>
        <item x="193"/>
        <item x="51"/>
        <item x="20"/>
        <item x="115"/>
        <item x="230"/>
        <item x="71"/>
        <item x="79"/>
        <item x="169"/>
        <item x="8"/>
        <item x="84"/>
        <item x="142"/>
        <item x="187"/>
        <item x="66"/>
        <item x="36"/>
        <item x="26"/>
        <item x="136"/>
        <item x="105"/>
        <item x="197"/>
        <item x="85"/>
        <item t="default"/>
      </items>
    </pivotField>
    <pivotField showAll="0"/>
    <pivotField showAll="0"/>
    <pivotField showAll="0"/>
    <pivotField showAll="0"/>
    <pivotField showAll="0"/>
    <pivotField showAll="0"/>
    <pivotField dataField="1" showAll="0">
      <items count="400">
        <item x="341"/>
        <item x="239"/>
        <item x="221"/>
        <item x="262"/>
        <item x="372"/>
        <item x="228"/>
        <item x="36"/>
        <item x="265"/>
        <item x="350"/>
        <item x="181"/>
        <item x="258"/>
        <item x="104"/>
        <item x="26"/>
        <item x="266"/>
        <item x="85"/>
        <item x="354"/>
        <item x="45"/>
        <item x="1"/>
        <item x="58"/>
        <item x="201"/>
        <item x="343"/>
        <item x="57"/>
        <item x="35"/>
        <item x="220"/>
        <item x="30"/>
        <item x="116"/>
        <item x="153"/>
        <item x="375"/>
        <item x="178"/>
        <item x="185"/>
        <item x="139"/>
        <item x="230"/>
        <item x="380"/>
        <item x="148"/>
        <item x="390"/>
        <item x="337"/>
        <item x="254"/>
        <item x="20"/>
        <item x="180"/>
        <item x="121"/>
        <item x="173"/>
        <item x="2"/>
        <item x="76"/>
        <item x="352"/>
        <item x="8"/>
        <item x="165"/>
        <item x="63"/>
        <item x="312"/>
        <item x="339"/>
        <item x="134"/>
        <item x="249"/>
        <item x="170"/>
        <item x="83"/>
        <item x="359"/>
        <item x="80"/>
        <item x="147"/>
        <item x="322"/>
        <item x="55"/>
        <item x="60"/>
        <item x="51"/>
        <item x="84"/>
        <item x="397"/>
        <item x="291"/>
        <item x="307"/>
        <item x="246"/>
        <item x="186"/>
        <item x="154"/>
        <item x="144"/>
        <item x="203"/>
        <item x="72"/>
        <item x="287"/>
        <item x="28"/>
        <item x="87"/>
        <item x="360"/>
        <item x="271"/>
        <item x="108"/>
        <item x="142"/>
        <item x="126"/>
        <item x="358"/>
        <item x="41"/>
        <item x="192"/>
        <item x="194"/>
        <item x="193"/>
        <item x="198"/>
        <item x="296"/>
        <item x="364"/>
        <item x="205"/>
        <item x="179"/>
        <item x="346"/>
        <item x="100"/>
        <item x="293"/>
        <item x="388"/>
        <item x="334"/>
        <item x="163"/>
        <item x="207"/>
        <item x="362"/>
        <item x="212"/>
        <item x="340"/>
        <item x="237"/>
        <item x="286"/>
        <item x="396"/>
        <item x="251"/>
        <item x="5"/>
        <item x="374"/>
        <item x="68"/>
        <item x="313"/>
        <item x="49"/>
        <item x="17"/>
        <item x="232"/>
        <item x="137"/>
        <item x="243"/>
        <item x="158"/>
        <item x="3"/>
        <item x="305"/>
        <item x="223"/>
        <item x="214"/>
        <item x="242"/>
        <item x="200"/>
        <item x="149"/>
        <item x="106"/>
        <item x="42"/>
        <item x="318"/>
        <item x="164"/>
        <item x="13"/>
        <item x="235"/>
        <item x="79"/>
        <item x="298"/>
        <item x="67"/>
        <item x="191"/>
        <item x="336"/>
        <item x="14"/>
        <item x="202"/>
        <item x="260"/>
        <item x="166"/>
        <item x="379"/>
        <item x="157"/>
        <item x="86"/>
        <item x="24"/>
        <item x="274"/>
        <item x="95"/>
        <item x="387"/>
        <item x="117"/>
        <item x="314"/>
        <item x="257"/>
        <item x="91"/>
        <item x="321"/>
        <item x="219"/>
        <item x="275"/>
        <item x="329"/>
        <item x="289"/>
        <item x="376"/>
        <item x="393"/>
        <item x="204"/>
        <item x="323"/>
        <item x="199"/>
        <item x="290"/>
        <item x="361"/>
        <item x="332"/>
        <item x="229"/>
        <item x="389"/>
        <item x="209"/>
        <item x="167"/>
        <item x="224"/>
        <item x="382"/>
        <item x="54"/>
        <item x="93"/>
        <item x="241"/>
        <item x="12"/>
        <item x="77"/>
        <item x="119"/>
        <item x="81"/>
        <item x="92"/>
        <item x="22"/>
        <item x="245"/>
        <item x="38"/>
        <item x="168"/>
        <item x="182"/>
        <item x="261"/>
        <item x="82"/>
        <item x="161"/>
        <item x="0"/>
        <item x="264"/>
        <item x="61"/>
        <item x="280"/>
        <item x="128"/>
        <item x="250"/>
        <item x="285"/>
        <item x="317"/>
        <item x="47"/>
        <item x="90"/>
        <item x="315"/>
        <item x="62"/>
        <item x="342"/>
        <item x="272"/>
        <item x="347"/>
        <item x="304"/>
        <item x="4"/>
        <item x="94"/>
        <item x="174"/>
        <item x="111"/>
        <item x="99"/>
        <item x="253"/>
        <item x="16"/>
        <item x="301"/>
        <item x="135"/>
        <item x="295"/>
        <item x="124"/>
        <item x="338"/>
        <item x="218"/>
        <item x="210"/>
        <item x="113"/>
        <item x="333"/>
        <item x="267"/>
        <item x="283"/>
        <item x="392"/>
        <item x="115"/>
        <item x="39"/>
        <item x="268"/>
        <item x="385"/>
        <item x="188"/>
        <item x="222"/>
        <item x="19"/>
        <item x="281"/>
        <item x="233"/>
        <item x="309"/>
        <item x="348"/>
        <item x="107"/>
        <item x="7"/>
        <item x="302"/>
        <item x="282"/>
        <item x="240"/>
        <item x="15"/>
        <item x="11"/>
        <item x="227"/>
        <item x="300"/>
        <item x="133"/>
        <item x="297"/>
        <item x="395"/>
        <item x="156"/>
        <item x="31"/>
        <item x="288"/>
        <item x="6"/>
        <item x="356"/>
        <item x="335"/>
        <item x="244"/>
        <item x="71"/>
        <item x="279"/>
        <item x="138"/>
        <item x="98"/>
        <item x="27"/>
        <item x="383"/>
        <item x="320"/>
        <item x="325"/>
        <item x="330"/>
        <item x="40"/>
        <item x="69"/>
        <item x="311"/>
        <item x="118"/>
        <item x="373"/>
        <item x="159"/>
        <item x="381"/>
        <item x="183"/>
        <item x="303"/>
        <item x="145"/>
        <item x="89"/>
        <item x="284"/>
        <item x="197"/>
        <item x="213"/>
        <item x="263"/>
        <item x="278"/>
        <item x="345"/>
        <item x="130"/>
        <item x="351"/>
        <item x="96"/>
        <item x="226"/>
        <item x="127"/>
        <item x="206"/>
        <item x="18"/>
        <item x="171"/>
        <item x="25"/>
        <item x="146"/>
        <item x="110"/>
        <item x="255"/>
        <item x="231"/>
        <item x="363"/>
        <item x="187"/>
        <item x="114"/>
        <item x="176"/>
        <item x="59"/>
        <item x="21"/>
        <item x="316"/>
        <item x="211"/>
        <item x="276"/>
        <item x="326"/>
        <item x="34"/>
        <item x="238"/>
        <item x="50"/>
        <item x="208"/>
        <item x="143"/>
        <item x="328"/>
        <item x="177"/>
        <item x="103"/>
        <item x="74"/>
        <item x="175"/>
        <item x="217"/>
        <item x="270"/>
        <item x="141"/>
        <item x="386"/>
        <item x="140"/>
        <item x="394"/>
        <item x="247"/>
        <item x="132"/>
        <item x="48"/>
        <item x="357"/>
        <item x="105"/>
        <item x="269"/>
        <item x="327"/>
        <item x="155"/>
        <item x="150"/>
        <item x="319"/>
        <item x="112"/>
        <item x="353"/>
        <item x="129"/>
        <item x="65"/>
        <item x="123"/>
        <item x="248"/>
        <item x="398"/>
        <item x="349"/>
        <item x="131"/>
        <item x="365"/>
        <item x="44"/>
        <item x="196"/>
        <item x="160"/>
        <item x="78"/>
        <item x="23"/>
        <item x="169"/>
        <item x="236"/>
        <item x="252"/>
        <item x="273"/>
        <item x="370"/>
        <item x="75"/>
        <item x="259"/>
        <item x="369"/>
        <item x="368"/>
        <item x="46"/>
        <item x="256"/>
        <item x="120"/>
        <item x="70"/>
        <item x="152"/>
        <item x="37"/>
        <item x="310"/>
        <item x="366"/>
        <item x="109"/>
        <item x="32"/>
        <item x="195"/>
        <item x="391"/>
        <item x="97"/>
        <item x="10"/>
        <item x="73"/>
        <item x="9"/>
        <item x="162"/>
        <item x="136"/>
        <item x="292"/>
        <item x="308"/>
        <item x="56"/>
        <item x="234"/>
        <item x="331"/>
        <item x="378"/>
        <item x="306"/>
        <item x="384"/>
        <item x="29"/>
        <item x="189"/>
        <item x="294"/>
        <item x="371"/>
        <item x="101"/>
        <item x="190"/>
        <item x="66"/>
        <item x="377"/>
        <item x="184"/>
        <item x="33"/>
        <item x="64"/>
        <item x="344"/>
        <item x="122"/>
        <item x="215"/>
        <item x="172"/>
        <item x="324"/>
        <item x="88"/>
        <item x="43"/>
        <item x="355"/>
        <item x="102"/>
        <item x="367"/>
        <item x="277"/>
        <item x="53"/>
        <item x="216"/>
        <item x="151"/>
        <item x="125"/>
        <item x="225"/>
        <item x="299"/>
        <item x="52"/>
        <item t="default"/>
      </items>
    </pivotField>
    <pivotField showAll="0"/>
    <pivotField showAll="0"/>
    <pivotField showAll="0">
      <items count="32">
        <item x="23"/>
        <item x="17"/>
        <item x="21"/>
        <item x="16"/>
        <item x="14"/>
        <item x="22"/>
        <item x="2"/>
        <item x="4"/>
        <item x="1"/>
        <item x="27"/>
        <item x="0"/>
        <item x="12"/>
        <item x="7"/>
        <item x="11"/>
        <item x="18"/>
        <item x="20"/>
        <item x="24"/>
        <item x="3"/>
        <item x="6"/>
        <item x="26"/>
        <item x="13"/>
        <item x="5"/>
        <item x="30"/>
        <item x="15"/>
        <item x="19"/>
        <item x="9"/>
        <item x="25"/>
        <item x="8"/>
        <item x="10"/>
        <item x="28"/>
        <item x="29"/>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3"/>
    <field x="1"/>
  </rowFields>
  <rowItems count="12">
    <i>
      <x v="1"/>
    </i>
    <i>
      <x v="2"/>
    </i>
    <i>
      <x v="3"/>
    </i>
    <i>
      <x v="4"/>
    </i>
    <i>
      <x v="5"/>
    </i>
    <i>
      <x v="6"/>
    </i>
    <i>
      <x v="7"/>
    </i>
    <i>
      <x v="8"/>
    </i>
    <i>
      <x v="9"/>
    </i>
    <i>
      <x v="10"/>
    </i>
    <i>
      <x v="11"/>
    </i>
    <i>
      <x v="12"/>
    </i>
  </rowItems>
  <colItems count="1">
    <i/>
  </colItems>
  <dataFields count="1">
    <dataField name="Sum of Sales" fld="8" baseField="0" baseItem="0"/>
  </dataFields>
  <chartFormats count="14">
    <chartFormat chart="0"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3" count="1" selected="0">
            <x v="1"/>
          </reference>
        </references>
      </pivotArea>
    </chartFormat>
    <chartFormat chart="3" format="16">
      <pivotArea type="data" outline="0" fieldPosition="0">
        <references count="2">
          <reference field="4294967294" count="1" selected="0">
            <x v="0"/>
          </reference>
          <reference field="13" count="1" selected="0">
            <x v="2"/>
          </reference>
        </references>
      </pivotArea>
    </chartFormat>
    <chartFormat chart="3" format="17">
      <pivotArea type="data" outline="0" fieldPosition="0">
        <references count="2">
          <reference field="4294967294" count="1" selected="0">
            <x v="0"/>
          </reference>
          <reference field="13" count="1" selected="0">
            <x v="3"/>
          </reference>
        </references>
      </pivotArea>
    </chartFormat>
    <chartFormat chart="3" format="18">
      <pivotArea type="data" outline="0" fieldPosition="0">
        <references count="2">
          <reference field="4294967294" count="1" selected="0">
            <x v="0"/>
          </reference>
          <reference field="13" count="1" selected="0">
            <x v="4"/>
          </reference>
        </references>
      </pivotArea>
    </chartFormat>
    <chartFormat chart="3" format="19">
      <pivotArea type="data" outline="0" fieldPosition="0">
        <references count="2">
          <reference field="4294967294" count="1" selected="0">
            <x v="0"/>
          </reference>
          <reference field="13" count="1" selected="0">
            <x v="5"/>
          </reference>
        </references>
      </pivotArea>
    </chartFormat>
    <chartFormat chart="3" format="20">
      <pivotArea type="data" outline="0" fieldPosition="0">
        <references count="2">
          <reference field="4294967294" count="1" selected="0">
            <x v="0"/>
          </reference>
          <reference field="13" count="1" selected="0">
            <x v="6"/>
          </reference>
        </references>
      </pivotArea>
    </chartFormat>
    <chartFormat chart="3" format="21">
      <pivotArea type="data" outline="0" fieldPosition="0">
        <references count="2">
          <reference field="4294967294" count="1" selected="0">
            <x v="0"/>
          </reference>
          <reference field="13" count="1" selected="0">
            <x v="7"/>
          </reference>
        </references>
      </pivotArea>
    </chartFormat>
    <chartFormat chart="3" format="22">
      <pivotArea type="data" outline="0" fieldPosition="0">
        <references count="2">
          <reference field="4294967294" count="1" selected="0">
            <x v="0"/>
          </reference>
          <reference field="13" count="1" selected="0">
            <x v="8"/>
          </reference>
        </references>
      </pivotArea>
    </chartFormat>
    <chartFormat chart="3" format="23">
      <pivotArea type="data" outline="0" fieldPosition="0">
        <references count="2">
          <reference field="4294967294" count="1" selected="0">
            <x v="0"/>
          </reference>
          <reference field="13" count="1" selected="0">
            <x v="9"/>
          </reference>
        </references>
      </pivotArea>
    </chartFormat>
    <chartFormat chart="3" format="24">
      <pivotArea type="data" outline="0" fieldPosition="0">
        <references count="2">
          <reference field="4294967294" count="1" selected="0">
            <x v="0"/>
          </reference>
          <reference field="13" count="1" selected="0">
            <x v="10"/>
          </reference>
        </references>
      </pivotArea>
    </chartFormat>
    <chartFormat chart="3" format="25">
      <pivotArea type="data" outline="0" fieldPosition="0">
        <references count="2">
          <reference field="4294967294" count="1" selected="0">
            <x v="0"/>
          </reference>
          <reference field="13" count="1" selected="0">
            <x v="11"/>
          </reference>
        </references>
      </pivotArea>
    </chartFormat>
    <chartFormat chart="3" format="26">
      <pivotArea type="data" outline="0" fieldPosition="0">
        <references count="2">
          <reference field="4294967294" count="1" selected="0">
            <x v="0"/>
          </reference>
          <reference field="1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E1B456-933B-49F1-81AC-656776E31EA0}" name="PivotTable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6" firstHeaderRow="1" firstDataRow="1" firstDataCol="1"/>
  <pivotFields count="14">
    <pivotField showAll="0"/>
    <pivotField numFmtId="164" showAll="0">
      <items count="234">
        <item x="3"/>
        <item x="184"/>
        <item x="201"/>
        <item x="231"/>
        <item x="218"/>
        <item x="221"/>
        <item x="117"/>
        <item x="127"/>
        <item x="119"/>
        <item x="167"/>
        <item x="65"/>
        <item x="214"/>
        <item x="2"/>
        <item x="23"/>
        <item x="42"/>
        <item x="98"/>
        <item x="141"/>
        <item x="134"/>
        <item x="89"/>
        <item x="35"/>
        <item x="179"/>
        <item x="39"/>
        <item x="6"/>
        <item x="206"/>
        <item x="229"/>
        <item x="75"/>
        <item x="114"/>
        <item x="27"/>
        <item x="145"/>
        <item x="108"/>
        <item x="110"/>
        <item x="192"/>
        <item x="7"/>
        <item x="44"/>
        <item x="118"/>
        <item x="211"/>
        <item x="126"/>
        <item x="203"/>
        <item x="101"/>
        <item x="17"/>
        <item x="41"/>
        <item x="45"/>
        <item x="30"/>
        <item x="80"/>
        <item x="22"/>
        <item x="4"/>
        <item x="112"/>
        <item x="135"/>
        <item x="49"/>
        <item x="232"/>
        <item x="190"/>
        <item x="91"/>
        <item x="160"/>
        <item x="46"/>
        <item x="47"/>
        <item x="52"/>
        <item x="196"/>
        <item x="67"/>
        <item x="58"/>
        <item x="198"/>
        <item x="77"/>
        <item x="130"/>
        <item x="74"/>
        <item x="129"/>
        <item x="125"/>
        <item x="150"/>
        <item x="107"/>
        <item x="188"/>
        <item x="162"/>
        <item x="153"/>
        <item x="86"/>
        <item x="61"/>
        <item x="204"/>
        <item x="64"/>
        <item x="220"/>
        <item x="100"/>
        <item x="43"/>
        <item x="178"/>
        <item x="16"/>
        <item x="121"/>
        <item x="9"/>
        <item x="185"/>
        <item x="171"/>
        <item x="87"/>
        <item x="172"/>
        <item x="120"/>
        <item x="56"/>
        <item x="199"/>
        <item x="207"/>
        <item x="170"/>
        <item x="29"/>
        <item x="189"/>
        <item x="48"/>
        <item x="111"/>
        <item x="96"/>
        <item x="88"/>
        <item x="144"/>
        <item x="60"/>
        <item x="219"/>
        <item x="209"/>
        <item x="138"/>
        <item x="82"/>
        <item x="57"/>
        <item x="210"/>
        <item x="99"/>
        <item x="54"/>
        <item x="191"/>
        <item x="104"/>
        <item x="68"/>
        <item x="95"/>
        <item x="194"/>
        <item x="182"/>
        <item x="78"/>
        <item x="186"/>
        <item x="195"/>
        <item x="94"/>
        <item x="13"/>
        <item x="183"/>
        <item x="155"/>
        <item x="69"/>
        <item x="149"/>
        <item x="176"/>
        <item x="139"/>
        <item x="165"/>
        <item x="32"/>
        <item x="147"/>
        <item x="21"/>
        <item x="133"/>
        <item x="168"/>
        <item x="225"/>
        <item x="166"/>
        <item x="97"/>
        <item x="28"/>
        <item x="200"/>
        <item x="93"/>
        <item x="83"/>
        <item x="116"/>
        <item x="81"/>
        <item x="137"/>
        <item x="63"/>
        <item x="173"/>
        <item x="161"/>
        <item x="228"/>
        <item x="37"/>
        <item x="158"/>
        <item x="19"/>
        <item x="208"/>
        <item x="31"/>
        <item x="174"/>
        <item x="212"/>
        <item x="15"/>
        <item x="154"/>
        <item x="151"/>
        <item x="73"/>
        <item x="122"/>
        <item x="123"/>
        <item x="132"/>
        <item x="128"/>
        <item x="148"/>
        <item x="59"/>
        <item x="205"/>
        <item x="164"/>
        <item x="177"/>
        <item x="55"/>
        <item x="92"/>
        <item x="217"/>
        <item x="103"/>
        <item x="152"/>
        <item x="223"/>
        <item x="76"/>
        <item x="156"/>
        <item x="1"/>
        <item x="38"/>
        <item x="202"/>
        <item x="224"/>
        <item x="12"/>
        <item x="11"/>
        <item x="227"/>
        <item x="50"/>
        <item x="157"/>
        <item x="62"/>
        <item x="53"/>
        <item x="72"/>
        <item x="113"/>
        <item x="34"/>
        <item x="222"/>
        <item x="40"/>
        <item x="25"/>
        <item x="90"/>
        <item x="33"/>
        <item x="109"/>
        <item x="131"/>
        <item x="0"/>
        <item x="163"/>
        <item x="175"/>
        <item x="106"/>
        <item x="124"/>
        <item x="213"/>
        <item x="70"/>
        <item x="102"/>
        <item x="146"/>
        <item x="181"/>
        <item x="140"/>
        <item x="5"/>
        <item x="10"/>
        <item x="143"/>
        <item x="24"/>
        <item x="216"/>
        <item x="215"/>
        <item x="159"/>
        <item x="180"/>
        <item x="226"/>
        <item x="14"/>
        <item x="18"/>
        <item x="193"/>
        <item x="51"/>
        <item x="20"/>
        <item x="115"/>
        <item x="230"/>
        <item x="71"/>
        <item x="79"/>
        <item x="169"/>
        <item x="8"/>
        <item x="84"/>
        <item x="142"/>
        <item x="187"/>
        <item x="66"/>
        <item x="36"/>
        <item x="26"/>
        <item x="136"/>
        <item x="105"/>
        <item x="197"/>
        <item x="85"/>
        <item t="default"/>
      </items>
    </pivotField>
    <pivotField showAll="0"/>
    <pivotField showAll="0"/>
    <pivotField showAll="0"/>
    <pivotField showAll="0"/>
    <pivotField showAll="0"/>
    <pivotField axis="axisRow" showAll="0">
      <items count="4">
        <item x="0"/>
        <item x="2"/>
        <item x="1"/>
        <item t="default"/>
      </items>
    </pivotField>
    <pivotField showAll="0"/>
    <pivotField showAll="0"/>
    <pivotField showAll="0"/>
    <pivotField dataField="1" showAll="0">
      <items count="32">
        <item x="23"/>
        <item x="17"/>
        <item x="21"/>
        <item x="16"/>
        <item x="14"/>
        <item x="22"/>
        <item x="2"/>
        <item x="4"/>
        <item x="1"/>
        <item x="27"/>
        <item x="0"/>
        <item x="12"/>
        <item x="7"/>
        <item x="11"/>
        <item x="18"/>
        <item x="20"/>
        <item x="24"/>
        <item x="3"/>
        <item x="6"/>
        <item x="26"/>
        <item x="13"/>
        <item x="5"/>
        <item x="30"/>
        <item x="15"/>
        <item x="19"/>
        <item x="9"/>
        <item x="25"/>
        <item x="8"/>
        <item x="10"/>
        <item x="28"/>
        <item x="29"/>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3">
    <i>
      <x/>
    </i>
    <i>
      <x v="1"/>
    </i>
    <i>
      <x v="2"/>
    </i>
  </rowItems>
  <colItems count="1">
    <i/>
  </colItems>
  <dataFields count="1">
    <dataField name="Sum of Discount"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9A170E1-7206-43EA-80DB-959928B1779C}" sourceName="Category">
  <pivotTables>
    <pivotTable tabId="10" name="PivotTable1"/>
    <pivotTable tabId="17" name="PivotTable1"/>
  </pivotTables>
  <data>
    <tabular pivotCacheId="170256361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388D342C-A286-4B72-9F48-0A686CDB0C57}" sourceName="Profit">
  <pivotTables>
    <pivotTable tabId="10" name="PivotTable1"/>
  </pivotTables>
  <data>
    <tabular pivotCacheId="1702563616">
      <items count="400">
        <i x="240"/>
        <i x="222" s="1"/>
        <i x="259" s="1"/>
        <i x="353" s="1"/>
        <i x="58" s="1"/>
        <i x="340" s="1"/>
        <i x="221" s="1"/>
        <i x="266" s="1"/>
        <i x="57" s="1"/>
        <i x="376" s="1"/>
        <i x="104" s="1"/>
        <i x="351" s="1"/>
        <i x="342" s="1"/>
        <i x="373" s="1"/>
        <i x="365" s="1"/>
        <i x="36" s="1"/>
        <i x="355" s="1"/>
        <i x="20" s="1"/>
        <i x="139" s="1"/>
        <i x="335" s="1"/>
        <i x="26" s="1"/>
        <i x="35" s="1"/>
        <i x="204" s="1"/>
        <i x="202" s="1"/>
        <i x="137" s="1"/>
        <i x="263" s="1"/>
        <i x="186" s="1"/>
        <i x="49" s="1"/>
        <i x="1" s="1"/>
        <i x="267" s="1"/>
        <i x="154" s="1"/>
        <i x="181" s="1"/>
        <i x="391" s="1"/>
        <i x="85" s="1"/>
        <i x="315" s="1"/>
        <i x="173" s="1"/>
        <i x="167" s="1"/>
        <i x="322" s="1"/>
        <i x="45" s="1"/>
        <i x="192" s="1"/>
        <i x="229" s="1"/>
        <i x="390" s="1"/>
        <i x="72" s="1"/>
        <i x="398" s="1"/>
        <i x="47" s="1"/>
        <i x="165" s="1"/>
        <i x="281" s="1"/>
        <i x="381" s="1"/>
        <i x="323" s="1"/>
        <i x="344" s="1"/>
        <i x="158" s="1"/>
        <i x="359" s="1"/>
        <i x="213" s="1"/>
        <i x="149" s="1"/>
        <i x="396" s="1"/>
        <i x="121" s="1"/>
        <i x="93" s="1"/>
        <i x="30" s="1"/>
        <i x="77" s="1"/>
        <i x="116" s="1"/>
        <i x="238" s="1"/>
        <i x="153" s="1"/>
        <i x="183" s="1"/>
        <i x="63" s="1"/>
        <i x="231" s="1"/>
        <i x="326" s="1"/>
        <i x="174" s="1"/>
        <i x="76" s="1"/>
        <i x="292" s="1"/>
        <i x="286" s="1"/>
        <i x="179" s="1"/>
        <i x="28" s="1"/>
        <i x="220" s="1"/>
        <i x="148" s="1"/>
        <i x="303" s="1"/>
        <i x="255" s="1"/>
        <i x="178" s="1"/>
        <i x="265" s="1"/>
        <i x="201" s="1"/>
        <i x="361" s="1"/>
        <i x="250" s="1"/>
        <i x="362" s="1"/>
        <i x="234" s="1"/>
        <i x="133" s="1"/>
        <i x="99" s="1"/>
        <i x="338" s="1"/>
        <i x="124" s="1"/>
        <i x="324" s="1"/>
        <i x="13" s="1"/>
        <i x="134" s="1"/>
        <i x="29" s="1"/>
        <i x="347" s="1"/>
        <i x="96" s="1"/>
        <i x="354" s="1"/>
        <i x="195" s="1"/>
        <i x="313" s="1"/>
        <i x="170" s="1"/>
        <i x="82" s="1"/>
        <i x="280" s="1"/>
        <i x="8" s="1"/>
        <i x="277" s="1"/>
        <i x="91" s="1"/>
        <i x="17" s="1"/>
        <i x="217" s="1"/>
        <i x="387" s="1"/>
        <i x="159" s="1"/>
        <i x="180" s="1"/>
        <i x="257" s="1"/>
        <i x="126" s="1"/>
        <i x="2" s="1"/>
        <i x="360" s="1"/>
        <i x="106" s="1"/>
        <i x="144" s="1"/>
        <i x="254" s="1"/>
        <i x="142" s="1"/>
        <i x="128" s="1"/>
        <i x="297" s="1"/>
        <i x="60" s="1"/>
        <i x="103" s="1"/>
        <i x="337" s="1"/>
        <i x="187" s="1"/>
        <i x="193" s="1"/>
        <i x="249" s="1"/>
        <i x="55" s="1"/>
        <i x="270" s="1"/>
        <i x="232" s="1"/>
        <i x="247" s="1"/>
        <i x="131" s="1"/>
        <i x="230" s="1"/>
        <i x="147" s="1"/>
        <i x="156" s="1"/>
        <i x="80" s="1"/>
        <i x="268" s="1"/>
        <i x="386" s="1"/>
        <i x="287" s="1"/>
        <i x="272" s="1"/>
        <i x="108" s="1"/>
        <i x="191" s="1"/>
        <i x="83" s="1"/>
        <i x="16" s="1"/>
        <i x="122" s="1"/>
        <i x="302" s="1"/>
        <i x="212" s="1"/>
        <i x="209" s="1"/>
        <i x="243" s="1"/>
        <i x="244" s="1"/>
        <i x="245" s="1"/>
        <i x="135" s="1"/>
        <i x="50" s="1"/>
        <i x="276" s="1"/>
        <i x="90" s="1"/>
        <i x="289" s="1"/>
        <i x="136" s="1"/>
        <i x="237" s="1"/>
        <i x="194" s="1"/>
        <i x="81" s="1"/>
        <i x="84" s="1"/>
        <i x="327" s="1"/>
        <i x="370" s="1"/>
        <i x="31" s="1"/>
        <i x="208" s="1"/>
        <i x="21" s="1"/>
        <i x="42" s="1"/>
        <i x="348" s="1"/>
        <i x="78" s="1"/>
        <i x="215" s="1"/>
        <i x="377" s="1"/>
        <i x="141" s="1"/>
        <i x="291" s="1"/>
        <i x="51" s="1"/>
        <i x="308" s="1"/>
        <i x="389" s="1"/>
        <i x="69" s="1"/>
        <i x="384" s="1"/>
        <i x="22" s="1"/>
        <i x="87" s="1"/>
        <i x="260" s="1"/>
        <i x="39" s="1"/>
        <i x="306" s="1"/>
        <i x="363" s="1"/>
        <i x="164" s="1"/>
        <i x="367" s="1"/>
        <i x="242" s="1"/>
        <i x="394" s="1"/>
        <i x="100" s="1"/>
        <i x="349" s="1"/>
        <i x="264" s="1"/>
        <i x="65" s="1"/>
        <i x="224" s="1"/>
        <i x="163" s="1"/>
        <i x="7" s="1"/>
        <i x="146" s="1"/>
        <i x="261" s="1"/>
        <i x="206" s="1"/>
        <i x="54" s="1"/>
        <i x="316" s="1"/>
        <i x="68" s="1"/>
        <i x="3" s="1"/>
        <i x="296" s="1"/>
        <i x="43" s="1"/>
        <i x="288" s="1"/>
        <i x="94" s="1"/>
        <i x="294" s="1"/>
        <i x="119" s="1"/>
        <i x="395" s="1"/>
        <i x="172" s="1"/>
        <i x="41" s="1"/>
        <i x="199" s="1"/>
        <i x="200" s="1"/>
        <i x="258" s="1"/>
        <i x="279" s="1"/>
        <i x="235" s="1"/>
        <i x="311" s="1"/>
        <i x="166" s="1"/>
        <i x="61" s="1"/>
        <i x="397" s="1"/>
        <i x="246" s="1"/>
        <i x="210" s="1"/>
        <i x="253" s="1"/>
        <i x="236" s="1"/>
        <i x="252" s="1"/>
        <i x="339" s="1"/>
        <i x="18" s="1"/>
        <i x="168" s="1"/>
        <i x="203" s="1"/>
        <i x="350" s="1"/>
        <i x="328" s="1"/>
        <i x="115" s="1"/>
        <i x="290" s="1"/>
        <i x="19" s="1"/>
        <i x="357" s="1"/>
        <i x="132" s="1"/>
        <i x="298" s="1"/>
        <i x="59" s="1"/>
        <i x="182" s="1"/>
        <i x="79" s="1"/>
        <i x="375" s="1"/>
        <i x="319" s="1"/>
        <i x="284" s="1"/>
        <i x="102" s="1"/>
        <i x="341" s="1"/>
        <i x="314" s="1"/>
        <i x="227" s="1"/>
        <i x="233" s="1"/>
        <i x="305" s="1"/>
        <i x="385" s="1"/>
        <i x="105" s="1"/>
        <i x="369" s="1"/>
        <i x="5" s="1"/>
        <i x="101" s="1"/>
        <i x="74" s="1"/>
        <i x="330" s="1"/>
        <i x="62" s="1"/>
        <i x="336" s="1"/>
        <i x="67" s="1"/>
        <i x="334" s="1"/>
        <i x="95" s="1"/>
        <i x="228" s="1"/>
        <i x="299" s="1"/>
        <i x="275" s="1"/>
        <i x="329" s="1"/>
        <i x="14" s="1"/>
        <i x="157" s="1"/>
        <i x="285" s="1"/>
        <i x="383" s="1"/>
        <i x="251" s="1"/>
        <i x="380" s="1"/>
        <i x="283" s="1"/>
        <i x="282" s="1"/>
        <i x="129" s="1"/>
        <i x="262" s="1"/>
        <i x="24" s="1"/>
        <i x="123" s="1"/>
        <i x="86" s="1"/>
        <i x="117" s="1"/>
        <i x="366" s="1"/>
        <i x="205" s="1"/>
        <i x="225" s="1"/>
        <i x="161" s="1"/>
        <i x="113" s="1"/>
        <i x="273" s="1"/>
        <i x="40" s="1"/>
        <i x="92" s="1"/>
        <i x="321" s="1"/>
        <i x="388" s="1"/>
        <i x="127" s="1"/>
        <i x="318" s="1"/>
        <i x="333" s="1"/>
        <i x="269" s="1"/>
        <i x="274" s="1"/>
        <i x="12" s="1"/>
        <i x="239" s="1"/>
        <i x="0" s="1"/>
        <i x="66" s="1"/>
        <i x="356" s="1"/>
        <i x="38" s="1"/>
        <i x="111" s="1"/>
        <i x="71" s="1"/>
        <i x="23" s="1"/>
        <i x="256" s="1"/>
        <i x="189" s="1"/>
        <i x="241" s="1"/>
        <i x="15" s="1"/>
        <i x="346" s="1"/>
        <i x="310" s="1"/>
        <i x="171" s="1"/>
        <i x="52" s="1"/>
        <i x="10" s="1"/>
        <i x="6" s="1"/>
        <i x="364" s="1"/>
        <i x="177" s="1"/>
        <i x="138" s="1"/>
        <i x="343" s="1"/>
        <i x="393" s="1"/>
        <i x="320" s="1"/>
        <i x="11" s="1"/>
        <i x="98" s="1"/>
        <i x="107" s="1"/>
        <i x="125" s="1"/>
        <i x="140" s="1"/>
        <i x="331" s="1"/>
        <i x="120" s="1"/>
        <i x="143" s="1"/>
        <i x="4" s="1"/>
        <i x="211" s="1"/>
        <i x="32" s="1"/>
        <i x="392" s="1"/>
        <i x="97" s="1"/>
        <i x="27" s="1"/>
        <i x="382" s="1"/>
        <i x="219" s="1"/>
        <i x="37" s="1"/>
        <i x="155" s="1"/>
        <i x="196" s="1"/>
        <i x="223" s="1"/>
        <i x="114" s="1"/>
        <i x="44" s="1"/>
        <i x="358" s="1"/>
        <i x="226" s="1"/>
        <i x="301" s="1"/>
        <i x="48" s="1"/>
        <i x="312" s="1"/>
        <i x="110" s="1"/>
        <i x="214" s="1"/>
        <i x="34" s="1"/>
        <i x="162" s="1"/>
        <i x="160" s="1"/>
        <i x="130" s="1"/>
        <i x="197" s="1"/>
        <i x="374" s="1"/>
        <i x="145" s="1"/>
        <i x="25" s="1"/>
        <i x="317" s="1"/>
        <i x="70" s="1"/>
        <i x="118" s="1"/>
        <i x="207" s="1"/>
        <i x="248" s="1"/>
        <i x="184" s="1"/>
        <i x="198" s="1"/>
        <i x="150" s="1"/>
        <i x="309" s="1"/>
        <i x="304" s="1"/>
        <i x="218" s="1"/>
        <i x="332" s="1"/>
        <i x="271" s="1"/>
        <i x="112" s="1"/>
        <i x="188" s="1"/>
        <i x="169" s="1"/>
        <i x="89" s="1"/>
        <i x="176" s="1"/>
        <i x="352" s="1"/>
        <i x="73" s="1"/>
        <i x="109" s="1"/>
        <i x="46" s="1"/>
        <i x="293" s="1"/>
        <i x="175" s="1"/>
        <i x="325" s="1"/>
        <i x="88" s="1"/>
        <i x="295" s="1"/>
        <i x="399" s="1"/>
        <i x="371" s="1"/>
        <i x="33" s="1"/>
        <i x="152" s="1"/>
        <i x="379" s="1"/>
        <i x="75" s="1"/>
        <i x="64" s="1"/>
        <i x="151" s="1"/>
        <i x="300" s="1"/>
        <i x="9" s="1"/>
        <i x="216" s="1"/>
        <i x="372" s="1"/>
        <i x="378" s="1"/>
        <i x="278" s="1"/>
        <i x="53" s="1"/>
        <i x="185" s="1"/>
        <i x="56" s="1"/>
        <i x="368" s="1"/>
        <i x="190" s="1"/>
        <i x="307" s="1"/>
        <i x="34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53D34DE0-2A49-4F38-ACE3-51A576503B2E}" sourceName="Order_ID">
  <pivotTables>
    <pivotTable tabId="10" name="PivotTable1"/>
  </pivotTables>
  <data>
    <tabular pivotCacheId="1702563616">
      <items count="4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24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1DA121-5F73-489F-9926-C5ED3E2339C9}" sourceName="Region">
  <pivotTables>
    <pivotTable tabId="10" name="PivotTable1"/>
    <pivotTable tabId="17" name="PivotTable1"/>
  </pivotTables>
  <data>
    <tabular pivotCacheId="1702563616">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6F75FAE9-5AA4-428F-A693-9F4CFE735763}" sourceName="Sub_Category">
  <pivotTables>
    <pivotTable tabId="10" name="PivotTable1"/>
  </pivotTables>
  <data>
    <tabular pivotCacheId="1702563616">
      <items count="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BCB7CC6-F815-4161-92CA-35B5F01BCC9C}" sourceName="Product">
  <pivotTables>
    <pivotTable tabId="17" name="PivotTable1"/>
    <pivotTable tabId="10" name="PivotTable1"/>
  </pivotTables>
  <data>
    <tabular pivotCacheId="1702563616">
      <items count="400">
        <i x="8" s="1"/>
        <i x="98" s="1"/>
        <i x="99" s="1"/>
        <i x="100" s="1"/>
        <i x="101" s="1"/>
        <i x="102" s="1"/>
        <i x="103" s="1"/>
        <i x="104" s="1"/>
        <i x="105" s="1"/>
        <i x="106" s="1"/>
        <i x="107" s="1"/>
        <i x="9" s="1"/>
        <i x="108" s="1"/>
        <i x="109" s="1"/>
        <i x="110" s="1"/>
        <i x="111" s="1"/>
        <i x="112" s="1"/>
        <i x="113" s="1"/>
        <i x="114" s="1"/>
        <i x="115" s="1"/>
        <i x="116" s="1"/>
        <i x="117" s="1"/>
        <i x="10" s="1"/>
        <i x="118" s="1"/>
        <i x="119" s="1"/>
        <i x="120" s="1"/>
        <i x="121" s="1"/>
        <i x="122" s="1"/>
        <i x="123" s="1"/>
        <i x="124" s="1"/>
        <i x="125" s="1"/>
        <i x="126" s="1"/>
        <i x="127" s="1"/>
        <i x="11" s="1"/>
        <i x="128" s="1"/>
        <i x="129" s="1"/>
        <i x="130" s="1"/>
        <i x="131" s="1"/>
        <i x="132" s="1"/>
        <i x="133" s="1"/>
        <i x="134" s="1"/>
        <i x="135" s="1"/>
        <i x="136" s="1"/>
        <i x="137" s="1"/>
        <i x="12" s="1"/>
        <i x="138" s="1"/>
        <i x="139" s="1"/>
        <i x="140" s="1"/>
        <i x="141" s="1"/>
        <i x="142" s="1"/>
        <i x="143" s="1"/>
        <i x="144" s="1"/>
        <i x="145" s="1"/>
        <i x="146" s="1"/>
        <i x="147" s="1"/>
        <i x="13" s="1"/>
        <i x="148" s="1"/>
        <i x="149" s="1"/>
        <i x="150" s="1"/>
        <i x="151" s="1"/>
        <i x="152" s="1"/>
        <i x="153" s="1"/>
        <i x="154" s="1"/>
        <i x="155" s="1"/>
        <i x="156" s="1"/>
        <i x="157" s="1"/>
        <i x="14" s="1"/>
        <i x="158" s="1"/>
        <i x="159" s="1"/>
        <i x="160" s="1"/>
        <i x="161" s="1"/>
        <i x="162" s="1"/>
        <i x="163" s="1"/>
        <i x="164" s="1"/>
        <i x="165" s="1"/>
        <i x="166" s="1"/>
        <i x="167" s="1"/>
        <i x="15" s="1"/>
        <i x="168" s="1"/>
        <i x="169" s="1"/>
        <i x="170" s="1"/>
        <i x="171" s="1"/>
        <i x="172" s="1"/>
        <i x="173" s="1"/>
        <i x="174" s="1"/>
        <i x="175" s="1"/>
        <i x="176" s="1"/>
        <i x="177" s="1"/>
        <i x="16" s="1"/>
        <i x="178" s="1"/>
        <i x="179" s="1"/>
        <i x="180" s="1"/>
        <i x="181" s="1"/>
        <i x="182" s="1"/>
        <i x="183" s="1"/>
        <i x="184" s="1"/>
        <i x="185" s="1"/>
        <i x="186" s="1"/>
        <i x="187" s="1"/>
        <i x="17" s="1"/>
        <i x="188" s="1"/>
        <i x="189" s="1"/>
        <i x="190" s="1"/>
        <i x="191" s="1"/>
        <i x="192" s="1"/>
        <i x="193" s="1"/>
        <i x="194" s="1"/>
        <i x="195" s="1"/>
        <i x="196" s="1"/>
        <i x="197" s="1"/>
        <i x="0" s="1"/>
        <i x="18" s="1"/>
        <i x="198" s="1"/>
        <i x="199" s="1"/>
        <i x="200" s="1"/>
        <i x="201" s="1"/>
        <i x="202" s="1"/>
        <i x="203" s="1"/>
        <i x="204" s="1"/>
        <i x="205" s="1"/>
        <i x="206" s="1"/>
        <i x="207" s="1"/>
        <i x="19" s="1"/>
        <i x="208" s="1"/>
        <i x="209" s="1"/>
        <i x="210" s="1"/>
        <i x="211" s="1"/>
        <i x="212" s="1"/>
        <i x="213" s="1"/>
        <i x="214" s="1"/>
        <i x="215" s="1"/>
        <i x="216" s="1"/>
        <i x="217" s="1"/>
        <i x="20" s="1"/>
        <i x="218" s="1"/>
        <i x="219" s="1"/>
        <i x="220" s="1"/>
        <i x="221" s="1"/>
        <i x="222" s="1"/>
        <i x="223" s="1"/>
        <i x="224" s="1"/>
        <i x="225" s="1"/>
        <i x="226" s="1"/>
        <i x="227" s="1"/>
        <i x="21" s="1"/>
        <i x="228" s="1"/>
        <i x="229" s="1"/>
        <i x="230" s="1"/>
        <i x="231" s="1"/>
        <i x="232" s="1"/>
        <i x="233" s="1"/>
        <i x="234" s="1"/>
        <i x="235" s="1"/>
        <i x="236" s="1"/>
        <i x="237" s="1"/>
        <i x="22" s="1"/>
        <i x="238" s="1"/>
        <i x="239" s="1"/>
        <i x="240" s="1"/>
        <i x="241" s="1"/>
        <i x="242" s="1"/>
        <i x="243" s="1"/>
        <i x="244" s="1"/>
        <i x="245" s="1"/>
        <i x="246" s="1"/>
        <i x="247" s="1"/>
        <i x="23" s="1"/>
        <i x="248" s="1"/>
        <i x="249" s="1"/>
        <i x="250" s="1"/>
        <i x="251" s="1"/>
        <i x="252" s="1"/>
        <i x="253" s="1"/>
        <i x="254" s="1"/>
        <i x="255" s="1"/>
        <i x="256" s="1"/>
        <i x="257" s="1"/>
        <i x="24" s="1"/>
        <i x="258" s="1"/>
        <i x="259" s="1"/>
        <i x="260" s="1"/>
        <i x="261" s="1"/>
        <i x="262" s="1"/>
        <i x="263" s="1"/>
        <i x="264" s="1"/>
        <i x="265" s="1"/>
        <i x="266" s="1"/>
        <i x="267" s="1"/>
        <i x="25" s="1"/>
        <i x="268" s="1"/>
        <i x="269" s="1"/>
        <i x="270" s="1"/>
        <i x="271" s="1"/>
        <i x="272" s="1"/>
        <i x="273" s="1"/>
        <i x="274" s="1"/>
        <i x="275" s="1"/>
        <i x="276" s="1"/>
        <i x="277" s="1"/>
        <i x="26" s="1"/>
        <i x="278" s="1"/>
        <i x="279" s="1"/>
        <i x="280" s="1"/>
        <i x="281" s="1"/>
        <i x="282" s="1"/>
        <i x="283" s="1"/>
        <i x="284" s="1"/>
        <i x="285" s="1"/>
        <i x="286" s="1"/>
        <i x="287" s="1"/>
        <i x="27" s="1"/>
        <i x="288" s="1"/>
        <i x="289" s="1"/>
        <i x="290" s="1"/>
        <i x="291" s="1"/>
        <i x="292" s="1"/>
        <i x="293" s="1"/>
        <i x="294" s="1"/>
        <i x="295" s="1"/>
        <i x="296" s="1"/>
        <i x="297" s="1"/>
        <i x="1" s="1"/>
        <i x="28" s="1"/>
        <i x="298" s="1"/>
        <i x="299" s="1"/>
        <i x="300" s="1"/>
        <i x="301" s="1"/>
        <i x="302" s="1"/>
        <i x="303" s="1"/>
        <i x="304" s="1"/>
        <i x="305" s="1"/>
        <i x="306" s="1"/>
        <i x="307" s="1"/>
        <i x="29" s="1"/>
        <i x="308" s="1"/>
        <i x="309" s="1"/>
        <i x="310" s="1"/>
        <i x="311" s="1"/>
        <i x="312" s="1"/>
        <i x="313" s="1"/>
        <i x="314" s="1"/>
        <i x="315" s="1"/>
        <i x="316" s="1"/>
        <i x="317" s="1"/>
        <i x="30" s="1"/>
        <i x="318" s="1"/>
        <i x="319" s="1"/>
        <i x="320" s="1"/>
        <i x="321" s="1"/>
        <i x="322" s="1"/>
        <i x="323" s="1"/>
        <i x="324" s="1"/>
        <i x="325" s="1"/>
        <i x="326" s="1"/>
        <i x="327" s="1"/>
        <i x="31" s="1"/>
        <i x="328" s="1"/>
        <i x="329" s="1"/>
        <i x="330" s="1"/>
        <i x="331" s="1"/>
        <i x="332" s="1"/>
        <i x="333" s="1"/>
        <i x="334" s="1"/>
        <i x="335" s="1"/>
        <i x="336" s="1"/>
        <i x="337" s="1"/>
        <i x="32" s="1"/>
        <i x="338" s="1"/>
        <i x="339" s="1"/>
        <i x="340" s="1"/>
        <i x="341" s="1"/>
        <i x="342" s="1"/>
        <i x="343" s="1"/>
        <i x="344" s="1"/>
        <i x="345" s="1"/>
        <i x="346" s="1"/>
        <i x="347" s="1"/>
        <i x="33" s="1"/>
        <i x="348" s="1"/>
        <i x="349" s="1"/>
        <i x="350" s="1"/>
        <i x="351" s="1"/>
        <i x="352" s="1"/>
        <i x="353" s="1"/>
        <i x="354" s="1"/>
        <i x="355" s="1"/>
        <i x="356" s="1"/>
        <i x="357" s="1"/>
        <i x="34" s="1"/>
        <i x="358" s="1"/>
        <i x="359" s="1"/>
        <i x="360" s="1"/>
        <i x="361" s="1"/>
        <i x="362" s="1"/>
        <i x="363" s="1"/>
        <i x="364" s="1"/>
        <i x="365" s="1"/>
        <i x="366" s="1"/>
        <i x="367" s="1"/>
        <i x="35" s="1"/>
        <i x="368" s="1"/>
        <i x="369" s="1"/>
        <i x="370" s="1"/>
        <i x="371" s="1"/>
        <i x="372" s="1"/>
        <i x="373" s="1"/>
        <i x="374" s="1"/>
        <i x="375" s="1"/>
        <i x="376" s="1"/>
        <i x="377" s="1"/>
        <i x="36" s="1"/>
        <i x="378" s="1"/>
        <i x="379" s="1"/>
        <i x="380" s="1"/>
        <i x="381" s="1"/>
        <i x="382" s="1"/>
        <i x="383" s="1"/>
        <i x="384" s="1"/>
        <i x="385" s="1"/>
        <i x="386" s="1"/>
        <i x="387" s="1"/>
        <i x="37" s="1"/>
        <i x="388" s="1"/>
        <i x="389" s="1"/>
        <i x="390" s="1"/>
        <i x="391" s="1"/>
        <i x="392" s="1"/>
        <i x="393" s="1"/>
        <i x="394" s="1"/>
        <i x="395" s="1"/>
        <i x="396" s="1"/>
        <i x="397" s="1"/>
        <i x="2" s="1"/>
        <i x="38" s="1"/>
        <i x="398" s="1"/>
        <i x="399" s="1"/>
        <i x="39" s="1"/>
        <i x="40" s="1"/>
        <i x="41" s="1"/>
        <i x="42" s="1"/>
        <i x="43" s="1"/>
        <i x="44" s="1"/>
        <i x="45" s="1"/>
        <i x="46" s="1"/>
        <i x="47" s="1"/>
        <i x="3" s="1"/>
        <i x="48" s="1"/>
        <i x="49" s="1"/>
        <i x="50" s="1"/>
        <i x="51" s="1"/>
        <i x="52" s="1"/>
        <i x="53" s="1"/>
        <i x="54" s="1"/>
        <i x="55" s="1"/>
        <i x="56" s="1"/>
        <i x="57" s="1"/>
        <i x="4" s="1"/>
        <i x="58" s="1"/>
        <i x="59" s="1"/>
        <i x="60" s="1"/>
        <i x="61" s="1"/>
        <i x="62" s="1"/>
        <i x="63" s="1"/>
        <i x="64" s="1"/>
        <i x="65" s="1"/>
        <i x="66" s="1"/>
        <i x="67" s="1"/>
        <i x="5" s="1"/>
        <i x="68" s="1"/>
        <i x="69" s="1"/>
        <i x="70" s="1"/>
        <i x="71" s="1"/>
        <i x="72" s="1"/>
        <i x="73" s="1"/>
        <i x="74" s="1"/>
        <i x="75" s="1"/>
        <i x="76" s="1"/>
        <i x="77" s="1"/>
        <i x="6" s="1"/>
        <i x="78" s="1"/>
        <i x="79" s="1"/>
        <i x="80" s="1"/>
        <i x="81" s="1"/>
        <i x="82" s="1"/>
        <i x="83" s="1"/>
        <i x="84" s="1"/>
        <i x="85" s="1"/>
        <i x="86" s="1"/>
        <i x="87" s="1"/>
        <i x="7" s="1"/>
        <i x="88" s="1"/>
        <i x="89" s="1"/>
        <i x="90" s="1"/>
        <i x="91" s="1"/>
        <i x="92" s="1"/>
        <i x="93" s="1"/>
        <i x="94" s="1"/>
        <i x="95" s="1"/>
        <i x="96" s="1"/>
        <i x="97"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C189017-13AA-4BC3-8A95-19579BB8916E}" sourceName="Date">
  <pivotTables>
    <pivotTable tabId="19" name="PivotTable2"/>
  </pivotTables>
  <data>
    <tabular pivotCacheId="1702563616">
      <items count="233">
        <i x="3" s="1"/>
        <i x="184" s="1"/>
        <i x="201" s="1"/>
        <i x="231" s="1"/>
        <i x="218" s="1"/>
        <i x="221" s="1"/>
        <i x="117" s="1"/>
        <i x="127" s="1"/>
        <i x="119" s="1"/>
        <i x="167" s="1"/>
        <i x="65" s="1"/>
        <i x="214" s="1"/>
        <i x="2" s="1"/>
        <i x="23" s="1"/>
        <i x="42" s="1"/>
        <i x="98" s="1"/>
        <i x="141" s="1"/>
        <i x="134" s="1"/>
        <i x="89" s="1"/>
        <i x="35" s="1"/>
        <i x="179" s="1"/>
        <i x="39" s="1"/>
        <i x="6" s="1"/>
        <i x="206" s="1"/>
        <i x="229" s="1"/>
        <i x="75" s="1"/>
        <i x="114" s="1"/>
        <i x="27" s="1"/>
        <i x="145" s="1"/>
        <i x="108" s="1"/>
        <i x="110" s="1"/>
        <i x="192" s="1"/>
        <i x="7" s="1"/>
        <i x="44" s="1"/>
        <i x="118" s="1"/>
        <i x="211" s="1"/>
        <i x="126" s="1"/>
        <i x="203" s="1"/>
        <i x="101" s="1"/>
        <i x="17" s="1"/>
        <i x="41" s="1"/>
        <i x="45" s="1"/>
        <i x="30" s="1"/>
        <i x="80" s="1"/>
        <i x="22" s="1"/>
        <i x="4" s="1"/>
        <i x="112" s="1"/>
        <i x="135" s="1"/>
        <i x="49" s="1"/>
        <i x="232" s="1"/>
        <i x="190" s="1"/>
        <i x="91" s="1"/>
        <i x="160" s="1"/>
        <i x="46" s="1"/>
        <i x="47" s="1"/>
        <i x="52" s="1"/>
        <i x="196" s="1"/>
        <i x="67" s="1"/>
        <i x="58" s="1"/>
        <i x="198" s="1"/>
        <i x="77" s="1"/>
        <i x="130" s="1"/>
        <i x="74" s="1"/>
        <i x="129" s="1"/>
        <i x="125" s="1"/>
        <i x="150" s="1"/>
        <i x="107" s="1"/>
        <i x="188" s="1"/>
        <i x="162" s="1"/>
        <i x="153" s="1"/>
        <i x="86" s="1"/>
        <i x="61" s="1"/>
        <i x="204" s="1"/>
        <i x="64" s="1"/>
        <i x="220" s="1"/>
        <i x="100" s="1"/>
        <i x="43" s="1"/>
        <i x="178" s="1"/>
        <i x="16" s="1"/>
        <i x="121" s="1"/>
        <i x="9" s="1"/>
        <i x="185" s="1"/>
        <i x="171" s="1"/>
        <i x="87" s="1"/>
        <i x="172" s="1"/>
        <i x="120" s="1"/>
        <i x="56" s="1"/>
        <i x="199" s="1"/>
        <i x="207" s="1"/>
        <i x="170" s="1"/>
        <i x="29" s="1"/>
        <i x="189" s="1"/>
        <i x="48" s="1"/>
        <i x="111" s="1"/>
        <i x="96" s="1"/>
        <i x="88" s="1"/>
        <i x="144" s="1"/>
        <i x="60" s="1"/>
        <i x="219" s="1"/>
        <i x="209" s="1"/>
        <i x="138" s="1"/>
        <i x="82" s="1"/>
        <i x="57" s="1"/>
        <i x="210" s="1"/>
        <i x="99" s="1"/>
        <i x="54" s="1"/>
        <i x="191" s="1"/>
        <i x="104" s="1"/>
        <i x="68" s="1"/>
        <i x="95" s="1"/>
        <i x="194" s="1"/>
        <i x="182" s="1"/>
        <i x="78" s="1"/>
        <i x="186" s="1"/>
        <i x="195" s="1"/>
        <i x="94" s="1"/>
        <i x="13" s="1"/>
        <i x="183" s="1"/>
        <i x="155" s="1"/>
        <i x="69" s="1"/>
        <i x="149" s="1"/>
        <i x="176" s="1"/>
        <i x="139" s="1"/>
        <i x="165" s="1"/>
        <i x="32" s="1"/>
        <i x="147" s="1"/>
        <i x="21" s="1"/>
        <i x="133" s="1"/>
        <i x="168" s="1"/>
        <i x="225" s="1"/>
        <i x="166" s="1"/>
        <i x="97" s="1"/>
        <i x="28" s="1"/>
        <i x="200" s="1"/>
        <i x="93" s="1"/>
        <i x="83" s="1"/>
        <i x="116" s="1"/>
        <i x="81" s="1"/>
        <i x="137" s="1"/>
        <i x="63" s="1"/>
        <i x="173" s="1"/>
        <i x="161" s="1"/>
        <i x="228" s="1"/>
        <i x="37" s="1"/>
        <i x="158" s="1"/>
        <i x="19"/>
        <i x="208" s="1"/>
        <i x="31" s="1"/>
        <i x="174" s="1"/>
        <i x="212" s="1"/>
        <i x="15" s="1"/>
        <i x="154" s="1"/>
        <i x="151" s="1"/>
        <i x="73" s="1"/>
        <i x="122" s="1"/>
        <i x="123" s="1"/>
        <i x="132" s="1"/>
        <i x="128" s="1"/>
        <i x="148" s="1"/>
        <i x="59" s="1"/>
        <i x="205" s="1"/>
        <i x="164" s="1"/>
        <i x="177" s="1"/>
        <i x="55" s="1"/>
        <i x="92" s="1"/>
        <i x="217" s="1"/>
        <i x="103" s="1"/>
        <i x="152" s="1"/>
        <i x="223" s="1"/>
        <i x="76" s="1"/>
        <i x="156" s="1"/>
        <i x="1" s="1"/>
        <i x="38" s="1"/>
        <i x="202" s="1"/>
        <i x="224" s="1"/>
        <i x="12" s="1"/>
        <i x="11" s="1"/>
        <i x="227" s="1"/>
        <i x="50" s="1"/>
        <i x="157" s="1"/>
        <i x="62" s="1"/>
        <i x="53" s="1"/>
        <i x="72" s="1"/>
        <i x="113" s="1"/>
        <i x="34" s="1"/>
        <i x="222" s="1"/>
        <i x="40" s="1"/>
        <i x="25" s="1"/>
        <i x="90" s="1"/>
        <i x="33" s="1"/>
        <i x="109" s="1"/>
        <i x="131" s="1"/>
        <i x="0" s="1"/>
        <i x="163" s="1"/>
        <i x="175" s="1"/>
        <i x="106" s="1"/>
        <i x="124" s="1"/>
        <i x="213" s="1"/>
        <i x="70" s="1"/>
        <i x="102" s="1"/>
        <i x="146" s="1"/>
        <i x="181" s="1"/>
        <i x="140" s="1"/>
        <i x="5" s="1"/>
        <i x="10" s="1"/>
        <i x="143" s="1"/>
        <i x="24" s="1"/>
        <i x="216" s="1"/>
        <i x="215" s="1"/>
        <i x="159" s="1"/>
        <i x="180" s="1"/>
        <i x="226" s="1"/>
        <i x="14" s="1"/>
        <i x="18" s="1"/>
        <i x="193" s="1"/>
        <i x="51" s="1"/>
        <i x="20" s="1"/>
        <i x="115" s="1"/>
        <i x="230" s="1"/>
        <i x="71" s="1"/>
        <i x="79" s="1"/>
        <i x="169" s="1"/>
        <i x="8" s="1"/>
        <i x="84" s="1"/>
        <i x="142" s="1"/>
        <i x="187" s="1"/>
        <i x="66" s="1"/>
        <i x="36" s="1"/>
        <i x="26" s="1"/>
        <i x="136" s="1"/>
        <i x="105" s="1"/>
        <i x="197" s="1"/>
        <i x="8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FE8ED2E8-4F83-4EE2-8201-A982736E3CC3}" sourceName="Sales">
  <pivotTables>
    <pivotTable tabId="19" name="PivotTable2"/>
    <pivotTable tabId="10" name="PivotTable1"/>
    <pivotTable tabId="17" name="PivotTable1"/>
  </pivotTables>
  <data>
    <tabular pivotCacheId="1702563616">
      <items count="399">
        <i x="341" s="1"/>
        <i x="239" s="1"/>
        <i x="221" s="1"/>
        <i x="262" s="1"/>
        <i x="372" s="1"/>
        <i x="228" s="1"/>
        <i x="36" s="1"/>
        <i x="265" s="1"/>
        <i x="350" s="1"/>
        <i x="181" s="1"/>
        <i x="258" s="1"/>
        <i x="104" s="1"/>
        <i x="26" s="1"/>
        <i x="266" s="1"/>
        <i x="85" s="1"/>
        <i x="354" s="1"/>
        <i x="45" s="1"/>
        <i x="1" s="1"/>
        <i x="58" s="1"/>
        <i x="201" s="1"/>
        <i x="343" s="1"/>
        <i x="57" s="1"/>
        <i x="35" s="1"/>
        <i x="220" s="1"/>
        <i x="30" s="1"/>
        <i x="116" s="1"/>
        <i x="153" s="1"/>
        <i x="375" s="1"/>
        <i x="178" s="1"/>
        <i x="185" s="1"/>
        <i x="139" s="1"/>
        <i x="230" s="1"/>
        <i x="380" s="1"/>
        <i x="148" s="1"/>
        <i x="390" s="1"/>
        <i x="337" s="1"/>
        <i x="254" s="1"/>
        <i x="20" s="1"/>
        <i x="180" s="1"/>
        <i x="121" s="1"/>
        <i x="173" s="1"/>
        <i x="2" s="1"/>
        <i x="76" s="1"/>
        <i x="352" s="1"/>
        <i x="8" s="1"/>
        <i x="165" s="1"/>
        <i x="63" s="1"/>
        <i x="312" s="1"/>
        <i x="339" s="1"/>
        <i x="134" s="1"/>
        <i x="249" s="1"/>
        <i x="170" s="1"/>
        <i x="83" s="1"/>
        <i x="359" s="1"/>
        <i x="80" s="1"/>
        <i x="147" s="1"/>
        <i x="322" s="1"/>
        <i x="55" s="1"/>
        <i x="60" s="1"/>
        <i x="51" s="1"/>
        <i x="84" s="1"/>
        <i x="397" s="1"/>
        <i x="291" s="1"/>
        <i x="307" s="1"/>
        <i x="246" s="1"/>
        <i x="186" s="1"/>
        <i x="154" s="1"/>
        <i x="144" s="1"/>
        <i x="203" s="1"/>
        <i x="72" s="1"/>
        <i x="287" s="1"/>
        <i x="28" s="1"/>
        <i x="87" s="1"/>
        <i x="360" s="1"/>
        <i x="271" s="1"/>
        <i x="108" s="1"/>
        <i x="142" s="1"/>
        <i x="126" s="1"/>
        <i x="358" s="1"/>
        <i x="41" s="1"/>
        <i x="192" s="1"/>
        <i x="194" s="1"/>
        <i x="193" s="1"/>
        <i x="198" s="1"/>
        <i x="296" s="1"/>
        <i x="364" s="1"/>
        <i x="205" s="1"/>
        <i x="179" s="1"/>
        <i x="346" s="1"/>
        <i x="100" s="1"/>
        <i x="293" s="1"/>
        <i x="388" s="1"/>
        <i x="334" s="1"/>
        <i x="163" s="1"/>
        <i x="207" s="1"/>
        <i x="362" s="1"/>
        <i x="212" s="1"/>
        <i x="340" s="1"/>
        <i x="237" s="1"/>
        <i x="286" s="1"/>
        <i x="396" s="1"/>
        <i x="251" s="1"/>
        <i x="5" s="1"/>
        <i x="374" s="1"/>
        <i x="68" s="1"/>
        <i x="313" s="1"/>
        <i x="49" s="1"/>
        <i x="17" s="1"/>
        <i x="232" s="1"/>
        <i x="137" s="1"/>
        <i x="243" s="1"/>
        <i x="158" s="1"/>
        <i x="3" s="1"/>
        <i x="305" s="1"/>
        <i x="223" s="1"/>
        <i x="214" s="1"/>
        <i x="242" s="1"/>
        <i x="200" s="1"/>
        <i x="149" s="1"/>
        <i x="106" s="1"/>
        <i x="42" s="1"/>
        <i x="318" s="1"/>
        <i x="164" s="1"/>
        <i x="13" s="1"/>
        <i x="235" s="1"/>
        <i x="79" s="1"/>
        <i x="298" s="1"/>
        <i x="67" s="1"/>
        <i x="191" s="1"/>
        <i x="336" s="1"/>
        <i x="14" s="1"/>
        <i x="202" s="1"/>
        <i x="260" s="1"/>
        <i x="166" s="1"/>
        <i x="379" s="1"/>
        <i x="157" s="1"/>
        <i x="86" s="1"/>
        <i x="24" s="1"/>
        <i x="274" s="1"/>
        <i x="95" s="1"/>
        <i x="387" s="1"/>
        <i x="117" s="1"/>
        <i x="314" s="1"/>
        <i x="257" s="1"/>
        <i x="91" s="1"/>
        <i x="321" s="1"/>
        <i x="219" s="1"/>
        <i x="275" s="1"/>
        <i x="329" s="1"/>
        <i x="289" s="1"/>
        <i x="376" s="1"/>
        <i x="393" s="1"/>
        <i x="204" s="1"/>
        <i x="323" s="1"/>
        <i x="199" s="1"/>
        <i x="290" s="1"/>
        <i x="361" s="1"/>
        <i x="332" s="1"/>
        <i x="229" s="1"/>
        <i x="389" s="1"/>
        <i x="209" s="1"/>
        <i x="167" s="1"/>
        <i x="224" s="1"/>
        <i x="382" s="1"/>
        <i x="54" s="1"/>
        <i x="93" s="1"/>
        <i x="241" s="1"/>
        <i x="12" s="1"/>
        <i x="77" s="1"/>
        <i x="119" s="1"/>
        <i x="81" s="1"/>
        <i x="92" s="1"/>
        <i x="22" s="1"/>
        <i x="245" s="1"/>
        <i x="38" s="1"/>
        <i x="168" s="1"/>
        <i x="182" s="1"/>
        <i x="261" s="1"/>
        <i x="82" s="1"/>
        <i x="161" s="1"/>
        <i x="0" s="1"/>
        <i x="264" s="1"/>
        <i x="61" s="1"/>
        <i x="280" s="1"/>
        <i x="128" s="1"/>
        <i x="250" s="1"/>
        <i x="285" s="1"/>
        <i x="317" s="1"/>
        <i x="47" s="1"/>
        <i x="90" s="1"/>
        <i x="315" s="1"/>
        <i x="62" s="1"/>
        <i x="342" s="1"/>
        <i x="272" s="1"/>
        <i x="347" s="1"/>
        <i x="304" s="1"/>
        <i x="4" s="1"/>
        <i x="94" s="1"/>
        <i x="174" s="1"/>
        <i x="111" s="1"/>
        <i x="99" s="1"/>
        <i x="253" s="1"/>
        <i x="16" s="1"/>
        <i x="301" s="1"/>
        <i x="135" s="1"/>
        <i x="295" s="1"/>
        <i x="124" s="1"/>
        <i x="338" s="1"/>
        <i x="218" s="1"/>
        <i x="210" s="1"/>
        <i x="113" s="1"/>
        <i x="333" s="1"/>
        <i x="267" s="1"/>
        <i x="283" s="1"/>
        <i x="392" s="1"/>
        <i x="115" s="1"/>
        <i x="39" s="1"/>
        <i x="268" s="1"/>
        <i x="385" s="1"/>
        <i x="188" s="1"/>
        <i x="222" s="1"/>
        <i x="19" s="1"/>
        <i x="281" s="1"/>
        <i x="233" s="1"/>
        <i x="309" s="1"/>
        <i x="348" s="1"/>
        <i x="107" s="1"/>
        <i x="7" s="1"/>
        <i x="302" s="1"/>
        <i x="282" s="1"/>
        <i x="240" s="1"/>
        <i x="15" s="1"/>
        <i x="11" s="1"/>
        <i x="227" s="1"/>
        <i x="300" s="1"/>
        <i x="133" s="1"/>
        <i x="297" s="1"/>
        <i x="395" s="1"/>
        <i x="156" s="1"/>
        <i x="31" s="1"/>
        <i x="288" s="1"/>
        <i x="6" s="1"/>
        <i x="356" s="1"/>
        <i x="335" s="1"/>
        <i x="244" s="1"/>
        <i x="71" s="1"/>
        <i x="279" s="1"/>
        <i x="138" s="1"/>
        <i x="98" s="1"/>
        <i x="27" s="1"/>
        <i x="383" s="1"/>
        <i x="320" s="1"/>
        <i x="325" s="1"/>
        <i x="330" s="1"/>
        <i x="40" s="1"/>
        <i x="69" s="1"/>
        <i x="311" s="1"/>
        <i x="118" s="1"/>
        <i x="373" s="1"/>
        <i x="159" s="1"/>
        <i x="381" s="1"/>
        <i x="183" s="1"/>
        <i x="303" s="1"/>
        <i x="145" s="1"/>
        <i x="89" s="1"/>
        <i x="284" s="1"/>
        <i x="197" s="1"/>
        <i x="213" s="1"/>
        <i x="263" s="1"/>
        <i x="278" s="1"/>
        <i x="345" s="1"/>
        <i x="130" s="1"/>
        <i x="351" s="1"/>
        <i x="96" s="1"/>
        <i x="226" s="1"/>
        <i x="127" s="1"/>
        <i x="206" s="1"/>
        <i x="18" s="1"/>
        <i x="171" s="1"/>
        <i x="25" s="1"/>
        <i x="146" s="1"/>
        <i x="110" s="1"/>
        <i x="255" s="1"/>
        <i x="231" s="1"/>
        <i x="363" s="1"/>
        <i x="187" s="1"/>
        <i x="114" s="1"/>
        <i x="176" s="1"/>
        <i x="59" s="1"/>
        <i x="21" s="1"/>
        <i x="316" s="1"/>
        <i x="211" s="1"/>
        <i x="276" s="1"/>
        <i x="326" s="1"/>
        <i x="34" s="1"/>
        <i x="238" s="1"/>
        <i x="50" s="1"/>
        <i x="208" s="1"/>
        <i x="143" s="1"/>
        <i x="328" s="1"/>
        <i x="177" s="1"/>
        <i x="103" s="1"/>
        <i x="74" s="1"/>
        <i x="175" s="1"/>
        <i x="217" s="1"/>
        <i x="270" s="1"/>
        <i x="141" s="1"/>
        <i x="386" s="1"/>
        <i x="140" s="1"/>
        <i x="394" s="1"/>
        <i x="247" s="1"/>
        <i x="132" s="1"/>
        <i x="48" s="1"/>
        <i x="357" s="1"/>
        <i x="105" s="1"/>
        <i x="269" s="1"/>
        <i x="327" s="1"/>
        <i x="155" s="1"/>
        <i x="150" s="1"/>
        <i x="319" s="1"/>
        <i x="112" s="1"/>
        <i x="353" s="1"/>
        <i x="129" s="1"/>
        <i x="65" s="1"/>
        <i x="123" s="1"/>
        <i x="248" s="1"/>
        <i x="398" s="1"/>
        <i x="349" s="1"/>
        <i x="131" s="1"/>
        <i x="365" s="1"/>
        <i x="44" s="1"/>
        <i x="196" s="1"/>
        <i x="160" s="1"/>
        <i x="78" s="1"/>
        <i x="23" s="1"/>
        <i x="169" s="1"/>
        <i x="236" s="1"/>
        <i x="252" s="1"/>
        <i x="273" s="1"/>
        <i x="370" s="1"/>
        <i x="75" s="1"/>
        <i x="259" s="1"/>
        <i x="369" s="1"/>
        <i x="368" s="1"/>
        <i x="46" s="1"/>
        <i x="256" s="1"/>
        <i x="120" s="1"/>
        <i x="70" s="1"/>
        <i x="152" s="1"/>
        <i x="37" s="1"/>
        <i x="310" s="1"/>
        <i x="366" s="1"/>
        <i x="109" s="1"/>
        <i x="32" s="1"/>
        <i x="195" s="1"/>
        <i x="391" s="1"/>
        <i x="97" s="1"/>
        <i x="10" s="1"/>
        <i x="73" s="1"/>
        <i x="9" s="1"/>
        <i x="162" s="1"/>
        <i x="136" s="1"/>
        <i x="292" s="1"/>
        <i x="308" s="1"/>
        <i x="56" s="1"/>
        <i x="234" s="1"/>
        <i x="331" s="1"/>
        <i x="378" s="1"/>
        <i x="306" s="1"/>
        <i x="384" s="1"/>
        <i x="29" s="1"/>
        <i x="189" s="1"/>
        <i x="294" s="1"/>
        <i x="371" s="1"/>
        <i x="101" s="1"/>
        <i x="190" s="1"/>
        <i x="66" s="1"/>
        <i x="377" s="1"/>
        <i x="184" s="1"/>
        <i x="33" s="1"/>
        <i x="64" s="1"/>
        <i x="344" s="1"/>
        <i x="122" s="1"/>
        <i x="215" s="1"/>
        <i x="172" s="1"/>
        <i x="324" s="1"/>
        <i x="88" s="1"/>
        <i x="43" s="1"/>
        <i x="355" s="1"/>
        <i x="102" s="1"/>
        <i x="367" s="1"/>
        <i x="277" s="1"/>
        <i x="53" s="1"/>
        <i x="216" s="1"/>
        <i x="151" s="1"/>
        <i x="125" s="1"/>
        <i x="225" s="1"/>
        <i x="299" s="1"/>
        <i x="5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5564878-9CBB-454E-9E53-F5E7A1165887}" sourceName="Segment">
  <pivotTables>
    <pivotTable tabId="20" name="PivotTable3"/>
  </pivotTables>
  <data>
    <tabular pivotCacheId="1702563616">
      <items count="3">
        <i x="0" s="1"/>
        <i x="2"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984C5F04-1E14-41B7-8583-FE0647989436}" sourceName="Discount">
  <pivotTables>
    <pivotTable tabId="20" name="PivotTable3"/>
    <pivotTable tabId="10" name="PivotTable1"/>
    <pivotTable tabId="17" name="PivotTable1"/>
    <pivotTable tabId="19" name="PivotTable2"/>
  </pivotTables>
  <data>
    <tabular pivotCacheId="1702563616">
      <items count="31">
        <i x="23" s="1"/>
        <i x="17" s="1"/>
        <i x="21" s="1"/>
        <i x="16" s="1"/>
        <i x="14" s="1"/>
        <i x="22" s="1"/>
        <i x="2" s="1"/>
        <i x="4" s="1"/>
        <i x="1" s="1"/>
        <i x="27" s="1"/>
        <i x="0" s="1"/>
        <i x="12" s="1"/>
        <i x="7" s="1"/>
        <i x="11" s="1"/>
        <i x="18" s="1"/>
        <i x="20" s="1"/>
        <i x="24" s="1"/>
        <i x="3" s="1"/>
        <i x="6" s="1"/>
        <i x="26" s="1"/>
        <i x="13" s="1"/>
        <i x="5" s="1"/>
        <i x="30" s="1"/>
        <i x="15" s="1"/>
        <i x="19" s="1"/>
        <i x="9" s="1"/>
        <i x="25" s="1"/>
        <i x="8" s="1"/>
        <i x="10" s="1"/>
        <i x="28" s="1"/>
        <i x="2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6E954AB-12CD-4344-B59A-1AF99040F49C}" cache="Slicer_Category" caption="Category" rowHeight="234950"/>
  <slicer name="Category 3" xr10:uid="{5A4C7BDE-D32A-44DB-9143-4CED42889EBB}" cache="Slicer_Category" caption="Category" rowHeight="234950"/>
  <slicer name="Profit" xr10:uid="{122E5EC5-16C9-4989-B6AF-BEFF420CACF8}" cache="Slicer_Profit" caption="Profit" rowHeight="234950"/>
  <slicer name="Order_ID" xr10:uid="{9B85028C-B7B1-4B94-A4DA-6D7E6A52E7C7}" cache="Slicer_Order_ID" caption="Order_ID" rowHeight="234950"/>
  <slicer name="Region" xr10:uid="{06C26AFB-2F98-4E97-9DD8-213F366E69C1}" cache="Slicer_Region" caption="Region" rowHeight="234950"/>
  <slicer name="Sub_Category" xr10:uid="{18599BC7-AFA6-439F-BD22-C55FFED5B8A2}" cache="Slicer_Sub_Category" caption="Sub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724D20F-E7CD-4BA7-89FD-83226FAA9C92}" cache="Slicer_Product" caption="Produc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D006914C-D595-44F7-8295-8709E3803438}" cache="Slicer_Date" caption="Date" rowHeight="234950"/>
  <slicer name="Sales" xr10:uid="{28EC21F2-DC61-4D6D-A762-029ADCB516F7}" cache="Slicer_Sales" caption="Sales"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B1EEA68-0C7E-4F92-B4B0-B89E9BF18629}" cache="Slicer_Segment" caption="Segment" rowHeight="234950"/>
  <slicer name="Discount" xr10:uid="{1CBD4DAE-1715-4AA9-AAE9-B6CFEB02E983}" cache="Slicer_Discount" caption="Discount"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D74DE0BF-26C7-469A-98B4-14CFD74C8FBA}" cache="Slicer_Category" caption="Category" style="SlicerStyleDark1" rowHeight="234950"/>
  <slicer name="Region 1" xr10:uid="{F6696AB6-DB0C-49DB-8ED7-3D53E67DD353}" cache="Slicer_Region" caption="Region" style="SlicerStyleDark2" rowHeight="234950"/>
  <slicer name="Product 1" xr10:uid="{FDFFD75C-1E2F-4870-908F-0636B1990C7A}" cache="Slicer_Product" caption="Product" style="SlicerStyleDark3" rowHeight="234950"/>
  <slicer name="Date 1" xr10:uid="{4C0E0ABE-2B7E-47DF-AA26-5D739E08A0CB}" cache="Slicer_Date" caption="Date" style="SlicerStyleDark1" rowHeight="234950"/>
  <slicer name="Segment 1" xr10:uid="{1118F946-695D-49F7-BCAB-C5E8E09D8771}" cache="Slicer_Segment" caption="Segment" style="SlicerStyleDark3" rowHeight="234950"/>
  <slicer name="Discount 1" xr10:uid="{2EB086AB-6A79-4568-9AAB-FE0E084B24D5}" cache="Slicer_Discount" caption="Discount"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01"/>
  <sheetViews>
    <sheetView topLeftCell="C1" workbookViewId="0">
      <selection activeCell="M9" sqref="M9"/>
    </sheetView>
  </sheetViews>
  <sheetFormatPr defaultColWidth="14.44140625" defaultRowHeight="15" customHeight="1"/>
  <cols>
    <col min="1" max="1" width="9.6640625" bestFit="1" customWidth="1"/>
    <col min="2" max="2" width="10.33203125" bestFit="1" customWidth="1"/>
    <col min="3" max="3" width="6.77734375" bestFit="1" customWidth="1"/>
    <col min="4" max="4" width="13.109375" bestFit="1" customWidth="1"/>
    <col min="5" max="5" width="12.77734375" bestFit="1" customWidth="1"/>
    <col min="6" max="6" width="10.33203125" bestFit="1" customWidth="1"/>
    <col min="7" max="7" width="9.109375" bestFit="1" customWidth="1"/>
    <col min="8" max="8" width="11.33203125" bestFit="1" customWidth="1"/>
    <col min="9" max="9" width="8" bestFit="1" customWidth="1"/>
    <col min="10" max="10" width="8.33203125" bestFit="1" customWidth="1"/>
    <col min="11" max="11" width="7" bestFit="1" customWidth="1"/>
    <col min="12" max="12" width="8.33203125" bestFit="1" customWidth="1"/>
  </cols>
  <sheetData>
    <row r="1" spans="1:17" ht="14.4">
      <c r="A1" s="37" t="s">
        <v>0</v>
      </c>
      <c r="B1" s="2" t="s">
        <v>1</v>
      </c>
      <c r="C1" s="2" t="s">
        <v>2</v>
      </c>
      <c r="D1" s="2" t="s">
        <v>3</v>
      </c>
      <c r="E1" s="2" t="s">
        <v>4</v>
      </c>
      <c r="F1" s="2" t="s">
        <v>5</v>
      </c>
      <c r="G1" s="2" t="s">
        <v>6</v>
      </c>
      <c r="H1" s="2" t="s">
        <v>7</v>
      </c>
      <c r="I1" s="2" t="s">
        <v>8</v>
      </c>
      <c r="J1" s="2" t="s">
        <v>9</v>
      </c>
      <c r="K1" s="2" t="s">
        <v>10</v>
      </c>
      <c r="L1" s="2" t="s">
        <v>11</v>
      </c>
    </row>
    <row r="2" spans="1:17" ht="14.4">
      <c r="A2" s="3" t="s">
        <v>12</v>
      </c>
      <c r="B2" s="25">
        <v>45954</v>
      </c>
      <c r="C2" s="3" t="s">
        <v>13</v>
      </c>
      <c r="D2" s="3" t="s">
        <v>14</v>
      </c>
      <c r="E2" s="3" t="s">
        <v>15</v>
      </c>
      <c r="F2" s="3" t="s">
        <v>16</v>
      </c>
      <c r="G2" s="3" t="s">
        <v>17</v>
      </c>
      <c r="H2" s="3" t="s">
        <v>18</v>
      </c>
      <c r="I2" s="3">
        <v>971.62</v>
      </c>
      <c r="J2" s="3">
        <v>5</v>
      </c>
      <c r="K2" s="3">
        <v>327.08999999999997</v>
      </c>
      <c r="L2" s="3">
        <v>0.1</v>
      </c>
      <c r="N2" s="32" t="s">
        <v>1227</v>
      </c>
      <c r="O2" s="32"/>
      <c r="P2" s="32"/>
      <c r="Q2" s="1"/>
    </row>
    <row r="3" spans="1:17" ht="14.4">
      <c r="A3" s="3" t="s">
        <v>19</v>
      </c>
      <c r="B3" s="25">
        <v>45921</v>
      </c>
      <c r="C3" s="3" t="s">
        <v>20</v>
      </c>
      <c r="D3" s="3" t="s">
        <v>21</v>
      </c>
      <c r="E3" s="3" t="s">
        <v>15</v>
      </c>
      <c r="F3" s="3" t="s">
        <v>22</v>
      </c>
      <c r="G3" s="3" t="s">
        <v>23</v>
      </c>
      <c r="H3" s="3" t="s">
        <v>18</v>
      </c>
      <c r="I3" s="3">
        <v>182.55</v>
      </c>
      <c r="J3" s="3">
        <v>8</v>
      </c>
      <c r="K3" s="3">
        <v>44.65</v>
      </c>
      <c r="L3" s="3">
        <v>0.08</v>
      </c>
      <c r="N3" s="32" t="s">
        <v>1228</v>
      </c>
      <c r="O3" s="32"/>
      <c r="P3" s="32"/>
      <c r="Q3" s="1"/>
    </row>
    <row r="4" spans="1:17" ht="14.4">
      <c r="A4" s="3" t="s">
        <v>24</v>
      </c>
      <c r="B4" s="25">
        <v>45675</v>
      </c>
      <c r="C4" s="3" t="s">
        <v>13</v>
      </c>
      <c r="D4" s="3" t="s">
        <v>14</v>
      </c>
      <c r="E4" s="3" t="s">
        <v>15</v>
      </c>
      <c r="F4" s="3" t="s">
        <v>25</v>
      </c>
      <c r="G4" s="3" t="s">
        <v>26</v>
      </c>
      <c r="H4" s="3" t="s">
        <v>18</v>
      </c>
      <c r="I4" s="3">
        <v>298.11</v>
      </c>
      <c r="J4" s="3">
        <v>4</v>
      </c>
      <c r="K4" s="3">
        <v>109.47</v>
      </c>
      <c r="L4" s="3">
        <v>0.08</v>
      </c>
      <c r="N4" s="32" t="s">
        <v>1229</v>
      </c>
      <c r="O4" s="32"/>
      <c r="P4" s="32"/>
      <c r="Q4" s="1"/>
    </row>
    <row r="5" spans="1:17" ht="14.4">
      <c r="A5" s="3" t="s">
        <v>27</v>
      </c>
      <c r="B5" s="25">
        <v>45658</v>
      </c>
      <c r="C5" s="3" t="s">
        <v>28</v>
      </c>
      <c r="D5" s="3" t="s">
        <v>14</v>
      </c>
      <c r="E5" s="3" t="s">
        <v>15</v>
      </c>
      <c r="F5" s="3" t="s">
        <v>29</v>
      </c>
      <c r="G5" s="3" t="s">
        <v>30</v>
      </c>
      <c r="H5" s="3" t="s">
        <v>18</v>
      </c>
      <c r="I5" s="3">
        <v>713.06</v>
      </c>
      <c r="J5" s="3">
        <v>1</v>
      </c>
      <c r="K5" s="3">
        <v>186.05</v>
      </c>
      <c r="L5" s="3">
        <v>0.1</v>
      </c>
      <c r="N5" s="1" t="s">
        <v>1230</v>
      </c>
      <c r="O5" s="1"/>
      <c r="P5" s="1"/>
      <c r="Q5" s="1"/>
    </row>
    <row r="6" spans="1:17" ht="14.4">
      <c r="A6" s="3" t="s">
        <v>31</v>
      </c>
      <c r="B6" s="25">
        <v>45722</v>
      </c>
      <c r="C6" s="3" t="s">
        <v>28</v>
      </c>
      <c r="D6" s="3" t="s">
        <v>32</v>
      </c>
      <c r="E6" s="3" t="s">
        <v>15</v>
      </c>
      <c r="F6" s="3" t="s">
        <v>33</v>
      </c>
      <c r="G6" s="3" t="s">
        <v>34</v>
      </c>
      <c r="H6" s="3" t="s">
        <v>35</v>
      </c>
      <c r="I6" s="3">
        <v>1037.92</v>
      </c>
      <c r="J6" s="3">
        <v>2</v>
      </c>
      <c r="K6" s="3">
        <v>393.31</v>
      </c>
      <c r="L6" s="3">
        <v>0.06</v>
      </c>
    </row>
    <row r="7" spans="1:17" ht="14.4">
      <c r="A7" s="3" t="s">
        <v>36</v>
      </c>
      <c r="B7" s="25">
        <v>45975</v>
      </c>
      <c r="C7" s="3" t="s">
        <v>28</v>
      </c>
      <c r="D7" s="3" t="s">
        <v>14</v>
      </c>
      <c r="E7" s="3" t="s">
        <v>15</v>
      </c>
      <c r="F7" s="3" t="s">
        <v>37</v>
      </c>
      <c r="G7" s="3" t="s">
        <v>38</v>
      </c>
      <c r="H7" s="3" t="s">
        <v>39</v>
      </c>
      <c r="I7" s="3">
        <v>652.03</v>
      </c>
      <c r="J7" s="3">
        <v>5</v>
      </c>
      <c r="K7" s="3">
        <v>260.8</v>
      </c>
      <c r="L7" s="3">
        <v>0.17</v>
      </c>
    </row>
    <row r="8" spans="1:17" ht="14.4">
      <c r="A8" s="3" t="s">
        <v>40</v>
      </c>
      <c r="B8" s="25">
        <v>45692</v>
      </c>
      <c r="C8" s="3" t="s">
        <v>41</v>
      </c>
      <c r="D8" s="3" t="s">
        <v>32</v>
      </c>
      <c r="E8" s="3" t="s">
        <v>15</v>
      </c>
      <c r="F8" s="3" t="s">
        <v>42</v>
      </c>
      <c r="G8" s="3" t="s">
        <v>43</v>
      </c>
      <c r="H8" s="3" t="s">
        <v>18</v>
      </c>
      <c r="I8" s="3">
        <v>1260.49</v>
      </c>
      <c r="J8" s="3">
        <v>2</v>
      </c>
      <c r="K8" s="3">
        <v>365.39</v>
      </c>
      <c r="L8" s="3">
        <v>7.0000000000000007E-2</v>
      </c>
    </row>
    <row r="9" spans="1:17" ht="14.4">
      <c r="A9" s="3" t="s">
        <v>44</v>
      </c>
      <c r="B9" s="25">
        <v>45708</v>
      </c>
      <c r="C9" s="3" t="s">
        <v>28</v>
      </c>
      <c r="D9" s="3" t="s">
        <v>14</v>
      </c>
      <c r="E9" s="3" t="s">
        <v>15</v>
      </c>
      <c r="F9" s="3" t="s">
        <v>45</v>
      </c>
      <c r="G9" s="3" t="s">
        <v>46</v>
      </c>
      <c r="H9" s="3" t="s">
        <v>35</v>
      </c>
      <c r="I9" s="3">
        <v>1173.22</v>
      </c>
      <c r="J9" s="3">
        <v>8</v>
      </c>
      <c r="K9" s="3">
        <v>180.51</v>
      </c>
      <c r="L9" s="3">
        <v>0.21</v>
      </c>
    </row>
    <row r="10" spans="1:17" ht="14.4">
      <c r="A10" s="3" t="s">
        <v>47</v>
      </c>
      <c r="B10" s="25">
        <v>46005</v>
      </c>
      <c r="C10" s="3" t="s">
        <v>41</v>
      </c>
      <c r="D10" s="3" t="s">
        <v>21</v>
      </c>
      <c r="E10" s="3" t="s">
        <v>15</v>
      </c>
      <c r="F10" s="3" t="s">
        <v>48</v>
      </c>
      <c r="G10" s="3" t="s">
        <v>49</v>
      </c>
      <c r="H10" s="3" t="s">
        <v>18</v>
      </c>
      <c r="I10" s="3">
        <v>312.23</v>
      </c>
      <c r="J10" s="3">
        <v>9</v>
      </c>
      <c r="K10" s="3">
        <v>102.62</v>
      </c>
      <c r="L10" s="3">
        <v>0.17</v>
      </c>
    </row>
    <row r="11" spans="1:17" ht="14.4">
      <c r="A11" s="3" t="s">
        <v>50</v>
      </c>
      <c r="B11" s="25">
        <v>45778</v>
      </c>
      <c r="C11" s="3" t="s">
        <v>28</v>
      </c>
      <c r="D11" s="3" t="s">
        <v>32</v>
      </c>
      <c r="E11" s="3" t="s">
        <v>15</v>
      </c>
      <c r="F11" s="3" t="s">
        <v>51</v>
      </c>
      <c r="G11" s="3" t="s">
        <v>52</v>
      </c>
      <c r="H11" s="3" t="s">
        <v>18</v>
      </c>
      <c r="I11" s="3">
        <v>1797.94</v>
      </c>
      <c r="J11" s="3">
        <v>10</v>
      </c>
      <c r="K11" s="3">
        <v>632.53</v>
      </c>
      <c r="L11" s="3">
        <v>0.21</v>
      </c>
    </row>
    <row r="12" spans="1:17" ht="14.4">
      <c r="A12" s="3" t="s">
        <v>53</v>
      </c>
      <c r="B12" s="25">
        <v>45976</v>
      </c>
      <c r="C12" s="3" t="s">
        <v>41</v>
      </c>
      <c r="D12" s="3" t="s">
        <v>14</v>
      </c>
      <c r="E12" s="3" t="s">
        <v>15</v>
      </c>
      <c r="F12" s="3" t="s">
        <v>54</v>
      </c>
      <c r="G12" s="3" t="s">
        <v>55</v>
      </c>
      <c r="H12" s="3" t="s">
        <v>35</v>
      </c>
      <c r="I12" s="3">
        <v>1781.4</v>
      </c>
      <c r="J12" s="3">
        <v>1</v>
      </c>
      <c r="K12" s="3">
        <v>361.91</v>
      </c>
      <c r="L12" s="3">
        <v>0.18</v>
      </c>
    </row>
    <row r="13" spans="1:17" ht="14.4">
      <c r="A13" s="3" t="s">
        <v>56</v>
      </c>
      <c r="B13" s="25">
        <v>45928</v>
      </c>
      <c r="C13" s="3" t="s">
        <v>20</v>
      </c>
      <c r="D13" s="3" t="s">
        <v>32</v>
      </c>
      <c r="E13" s="3" t="s">
        <v>15</v>
      </c>
      <c r="F13" s="3" t="s">
        <v>57</v>
      </c>
      <c r="G13" s="3" t="s">
        <v>58</v>
      </c>
      <c r="H13" s="3" t="s">
        <v>35</v>
      </c>
      <c r="I13" s="3">
        <v>1205.07</v>
      </c>
      <c r="J13" s="3">
        <v>9</v>
      </c>
      <c r="K13" s="3">
        <v>367.14</v>
      </c>
      <c r="L13" s="3">
        <v>0.1</v>
      </c>
    </row>
    <row r="14" spans="1:17" ht="14.4">
      <c r="A14" s="3" t="s">
        <v>59</v>
      </c>
      <c r="B14" s="25">
        <v>45927</v>
      </c>
      <c r="C14" s="3" t="s">
        <v>28</v>
      </c>
      <c r="D14" s="3" t="s">
        <v>14</v>
      </c>
      <c r="E14" s="3" t="s">
        <v>15</v>
      </c>
      <c r="F14" s="3" t="s">
        <v>60</v>
      </c>
      <c r="G14" s="3" t="s">
        <v>61</v>
      </c>
      <c r="H14" s="3" t="s">
        <v>35</v>
      </c>
      <c r="I14" s="3">
        <v>913.99</v>
      </c>
      <c r="J14" s="3">
        <v>1</v>
      </c>
      <c r="K14" s="3">
        <v>324.67</v>
      </c>
      <c r="L14" s="3">
        <v>0.12</v>
      </c>
    </row>
    <row r="15" spans="1:17" ht="14.4">
      <c r="A15" s="3" t="s">
        <v>62</v>
      </c>
      <c r="B15" s="25">
        <v>45834</v>
      </c>
      <c r="C15" s="3" t="s">
        <v>20</v>
      </c>
      <c r="D15" s="3" t="s">
        <v>32</v>
      </c>
      <c r="E15" s="3" t="s">
        <v>15</v>
      </c>
      <c r="F15" s="3" t="s">
        <v>63</v>
      </c>
      <c r="G15" s="3" t="s">
        <v>64</v>
      </c>
      <c r="H15" s="3" t="s">
        <v>35</v>
      </c>
      <c r="I15" s="3">
        <v>738.88</v>
      </c>
      <c r="J15" s="3">
        <v>7</v>
      </c>
      <c r="K15" s="3">
        <v>95.17</v>
      </c>
      <c r="L15" s="3">
        <v>0.27</v>
      </c>
    </row>
    <row r="16" spans="1:17" ht="14.4">
      <c r="A16" s="3" t="s">
        <v>65</v>
      </c>
      <c r="B16" s="25">
        <v>45986</v>
      </c>
      <c r="C16" s="3" t="s">
        <v>28</v>
      </c>
      <c r="D16" s="3" t="s">
        <v>21</v>
      </c>
      <c r="E16" s="3" t="s">
        <v>15</v>
      </c>
      <c r="F16" s="3" t="s">
        <v>66</v>
      </c>
      <c r="G16" s="3" t="s">
        <v>67</v>
      </c>
      <c r="H16" s="3" t="s">
        <v>18</v>
      </c>
      <c r="I16" s="3">
        <v>750.85</v>
      </c>
      <c r="J16" s="3">
        <v>5</v>
      </c>
      <c r="K16" s="3">
        <v>281.77</v>
      </c>
      <c r="L16" s="3">
        <v>0.12</v>
      </c>
    </row>
    <row r="17" spans="1:12" ht="14.4">
      <c r="A17" s="3" t="s">
        <v>68</v>
      </c>
      <c r="B17" s="25">
        <v>45884</v>
      </c>
      <c r="C17" s="3" t="s">
        <v>13</v>
      </c>
      <c r="D17" s="3" t="s">
        <v>21</v>
      </c>
      <c r="E17" s="3" t="s">
        <v>15</v>
      </c>
      <c r="F17" s="3" t="s">
        <v>69</v>
      </c>
      <c r="G17" s="3" t="s">
        <v>70</v>
      </c>
      <c r="H17" s="3" t="s">
        <v>35</v>
      </c>
      <c r="I17" s="3">
        <v>1196.5</v>
      </c>
      <c r="J17" s="3">
        <v>2</v>
      </c>
      <c r="K17" s="3">
        <v>354.35</v>
      </c>
      <c r="L17" s="3">
        <v>0.25</v>
      </c>
    </row>
    <row r="18" spans="1:12" ht="14.4">
      <c r="A18" s="3" t="s">
        <v>71</v>
      </c>
      <c r="B18" s="25">
        <v>45771</v>
      </c>
      <c r="C18" s="3" t="s">
        <v>28</v>
      </c>
      <c r="D18" s="3" t="s">
        <v>21</v>
      </c>
      <c r="E18" s="3" t="s">
        <v>15</v>
      </c>
      <c r="F18" s="3" t="s">
        <v>72</v>
      </c>
      <c r="G18" s="3" t="s">
        <v>73</v>
      </c>
      <c r="H18" s="3" t="s">
        <v>35</v>
      </c>
      <c r="I18" s="3">
        <v>1042.19</v>
      </c>
      <c r="J18" s="3">
        <v>2</v>
      </c>
      <c r="K18" s="3">
        <v>138.52000000000001</v>
      </c>
      <c r="L18" s="3">
        <v>0.28000000000000003</v>
      </c>
    </row>
    <row r="19" spans="1:12" ht="14.4">
      <c r="A19" s="3" t="s">
        <v>74</v>
      </c>
      <c r="B19" s="25">
        <v>45716</v>
      </c>
      <c r="C19" s="3" t="s">
        <v>41</v>
      </c>
      <c r="D19" s="3" t="s">
        <v>32</v>
      </c>
      <c r="E19" s="3" t="s">
        <v>15</v>
      </c>
      <c r="F19" s="3" t="s">
        <v>75</v>
      </c>
      <c r="G19" s="3" t="s">
        <v>76</v>
      </c>
      <c r="H19" s="3" t="s">
        <v>35</v>
      </c>
      <c r="I19" s="3">
        <v>686.09</v>
      </c>
      <c r="J19" s="3">
        <v>6</v>
      </c>
      <c r="K19" s="3">
        <v>105.82</v>
      </c>
      <c r="L19" s="3">
        <v>0.13</v>
      </c>
    </row>
    <row r="20" spans="1:12" ht="14.4">
      <c r="A20" s="3" t="s">
        <v>77</v>
      </c>
      <c r="B20" s="25">
        <v>45989</v>
      </c>
      <c r="C20" s="3" t="s">
        <v>28</v>
      </c>
      <c r="D20" s="3" t="s">
        <v>21</v>
      </c>
      <c r="E20" s="3" t="s">
        <v>15</v>
      </c>
      <c r="F20" s="3" t="s">
        <v>78</v>
      </c>
      <c r="G20" s="3" t="s">
        <v>79</v>
      </c>
      <c r="H20" s="3" t="s">
        <v>39</v>
      </c>
      <c r="I20" s="3">
        <v>1416.07</v>
      </c>
      <c r="J20" s="3">
        <v>4</v>
      </c>
      <c r="K20" s="3">
        <v>225.85</v>
      </c>
      <c r="L20" s="3">
        <v>0.17</v>
      </c>
    </row>
    <row r="21" spans="1:12" ht="15.75" customHeight="1">
      <c r="A21" s="3" t="s">
        <v>80</v>
      </c>
      <c r="B21" s="25">
        <v>45928</v>
      </c>
      <c r="C21" s="3" t="s">
        <v>41</v>
      </c>
      <c r="D21" s="3" t="s">
        <v>14</v>
      </c>
      <c r="E21" s="3" t="s">
        <v>15</v>
      </c>
      <c r="F21" s="3" t="s">
        <v>81</v>
      </c>
      <c r="G21" s="3" t="s">
        <v>82</v>
      </c>
      <c r="H21" s="3" t="s">
        <v>35</v>
      </c>
      <c r="I21" s="3">
        <v>1144.18</v>
      </c>
      <c r="J21" s="3">
        <v>5</v>
      </c>
      <c r="K21" s="3">
        <v>233.65</v>
      </c>
      <c r="L21" s="3">
        <v>0.11</v>
      </c>
    </row>
    <row r="22" spans="1:12" ht="15.75" customHeight="1">
      <c r="A22" s="3" t="s">
        <v>83</v>
      </c>
      <c r="B22" s="25">
        <v>45878</v>
      </c>
      <c r="C22" s="3" t="s">
        <v>41</v>
      </c>
      <c r="D22" s="3" t="s">
        <v>14</v>
      </c>
      <c r="E22" s="3" t="s">
        <v>15</v>
      </c>
      <c r="F22" s="3" t="s">
        <v>84</v>
      </c>
      <c r="G22" s="3" t="s">
        <v>85</v>
      </c>
      <c r="H22" s="3" t="s">
        <v>35</v>
      </c>
      <c r="I22" s="3">
        <v>252.73</v>
      </c>
      <c r="J22" s="3">
        <v>5</v>
      </c>
      <c r="K22" s="3">
        <v>31.14</v>
      </c>
      <c r="L22" s="3">
        <v>0.27</v>
      </c>
    </row>
    <row r="23" spans="1:12" ht="15.75" customHeight="1">
      <c r="A23" s="3" t="s">
        <v>86</v>
      </c>
      <c r="B23" s="25">
        <v>45999</v>
      </c>
      <c r="C23" s="3" t="s">
        <v>28</v>
      </c>
      <c r="D23" s="3" t="s">
        <v>14</v>
      </c>
      <c r="E23" s="3" t="s">
        <v>15</v>
      </c>
      <c r="F23" s="3" t="s">
        <v>87</v>
      </c>
      <c r="G23" s="3" t="s">
        <v>88</v>
      </c>
      <c r="H23" s="3" t="s">
        <v>39</v>
      </c>
      <c r="I23" s="3">
        <v>1467.17</v>
      </c>
      <c r="J23" s="3">
        <v>10</v>
      </c>
      <c r="K23" s="3">
        <v>157.78</v>
      </c>
      <c r="L23" s="3">
        <v>0.2</v>
      </c>
    </row>
    <row r="24" spans="1:12" ht="15.75" customHeight="1">
      <c r="A24" s="3" t="s">
        <v>89</v>
      </c>
      <c r="B24" s="25">
        <v>45658</v>
      </c>
      <c r="C24" s="3" t="s">
        <v>20</v>
      </c>
      <c r="D24" s="3" t="s">
        <v>32</v>
      </c>
      <c r="E24" s="3" t="s">
        <v>15</v>
      </c>
      <c r="F24" s="3" t="s">
        <v>90</v>
      </c>
      <c r="G24" s="3" t="s">
        <v>91</v>
      </c>
      <c r="H24" s="3" t="s">
        <v>39</v>
      </c>
      <c r="I24" s="3">
        <v>939.48</v>
      </c>
      <c r="J24" s="3">
        <v>2</v>
      </c>
      <c r="K24" s="3">
        <v>166.13</v>
      </c>
      <c r="L24" s="3">
        <v>0.04</v>
      </c>
    </row>
    <row r="25" spans="1:12" ht="15.75" customHeight="1">
      <c r="A25" s="3" t="s">
        <v>92</v>
      </c>
      <c r="B25" s="25">
        <v>45851</v>
      </c>
      <c r="C25" s="3" t="s">
        <v>20</v>
      </c>
      <c r="D25" s="3" t="s">
        <v>32</v>
      </c>
      <c r="E25" s="3" t="s">
        <v>15</v>
      </c>
      <c r="F25" s="3" t="s">
        <v>93</v>
      </c>
      <c r="G25" s="3" t="s">
        <v>94</v>
      </c>
      <c r="H25" s="3" t="s">
        <v>35</v>
      </c>
      <c r="I25" s="3">
        <v>1696.84</v>
      </c>
      <c r="J25" s="3">
        <v>4</v>
      </c>
      <c r="K25" s="3">
        <v>348.3</v>
      </c>
      <c r="L25" s="3">
        <v>0.23</v>
      </c>
    </row>
    <row r="26" spans="1:12" ht="15.75" customHeight="1">
      <c r="A26" s="3" t="s">
        <v>95</v>
      </c>
      <c r="B26" s="25">
        <v>45721</v>
      </c>
      <c r="C26" s="3" t="s">
        <v>20</v>
      </c>
      <c r="D26" s="3" t="s">
        <v>21</v>
      </c>
      <c r="E26" s="3" t="s">
        <v>15</v>
      </c>
      <c r="F26" s="3" t="s">
        <v>96</v>
      </c>
      <c r="G26" s="3" t="s">
        <v>97</v>
      </c>
      <c r="H26" s="3" t="s">
        <v>18</v>
      </c>
      <c r="I26" s="3">
        <v>788.51</v>
      </c>
      <c r="J26" s="3">
        <v>8</v>
      </c>
      <c r="K26" s="3">
        <v>292.33</v>
      </c>
      <c r="L26" s="3">
        <v>0.03</v>
      </c>
    </row>
    <row r="27" spans="1:12" ht="15.75" customHeight="1">
      <c r="A27" s="3" t="s">
        <v>98</v>
      </c>
      <c r="B27" s="25">
        <v>45676</v>
      </c>
      <c r="C27" s="3" t="s">
        <v>13</v>
      </c>
      <c r="D27" s="3" t="s">
        <v>21</v>
      </c>
      <c r="E27" s="3" t="s">
        <v>15</v>
      </c>
      <c r="F27" s="3" t="s">
        <v>99</v>
      </c>
      <c r="G27" s="3" t="s">
        <v>100</v>
      </c>
      <c r="H27" s="3" t="s">
        <v>18</v>
      </c>
      <c r="I27" s="3">
        <v>1419.02</v>
      </c>
      <c r="J27" s="3">
        <v>4</v>
      </c>
      <c r="K27" s="3">
        <v>500.65</v>
      </c>
      <c r="L27" s="3">
        <v>0.04</v>
      </c>
    </row>
    <row r="28" spans="1:12" ht="15.75" customHeight="1">
      <c r="A28" s="3" t="s">
        <v>101</v>
      </c>
      <c r="B28" s="25">
        <v>45979</v>
      </c>
      <c r="C28" s="3" t="s">
        <v>28</v>
      </c>
      <c r="D28" s="3" t="s">
        <v>14</v>
      </c>
      <c r="E28" s="3" t="s">
        <v>15</v>
      </c>
      <c r="F28" s="3" t="s">
        <v>102</v>
      </c>
      <c r="G28" s="3" t="s">
        <v>103</v>
      </c>
      <c r="H28" s="3" t="s">
        <v>18</v>
      </c>
      <c r="I28" s="3">
        <v>159.15</v>
      </c>
      <c r="J28" s="3">
        <v>6</v>
      </c>
      <c r="K28" s="3">
        <v>35.229999999999997</v>
      </c>
      <c r="L28" s="3">
        <v>0.18</v>
      </c>
    </row>
    <row r="29" spans="1:12" ht="15.75" customHeight="1">
      <c r="A29" s="3" t="s">
        <v>104</v>
      </c>
      <c r="B29" s="25">
        <v>45949</v>
      </c>
      <c r="C29" s="3" t="s">
        <v>20</v>
      </c>
      <c r="D29" s="3" t="s">
        <v>14</v>
      </c>
      <c r="E29" s="3" t="s">
        <v>15</v>
      </c>
      <c r="F29" s="3" t="s">
        <v>105</v>
      </c>
      <c r="G29" s="3" t="s">
        <v>106</v>
      </c>
      <c r="H29" s="3" t="s">
        <v>35</v>
      </c>
      <c r="I29" s="3">
        <v>1300.57</v>
      </c>
      <c r="J29" s="3">
        <v>3</v>
      </c>
      <c r="K29" s="3">
        <v>416.02</v>
      </c>
      <c r="L29" s="3">
        <v>0.11</v>
      </c>
    </row>
    <row r="30" spans="1:12" ht="15.75" customHeight="1">
      <c r="A30" s="3" t="s">
        <v>107</v>
      </c>
      <c r="B30" s="25">
        <v>46015</v>
      </c>
      <c r="C30" s="3" t="s">
        <v>28</v>
      </c>
      <c r="D30" s="3" t="s">
        <v>32</v>
      </c>
      <c r="E30" s="3" t="s">
        <v>15</v>
      </c>
      <c r="F30" s="3" t="s">
        <v>108</v>
      </c>
      <c r="G30" s="3" t="s">
        <v>109</v>
      </c>
      <c r="H30" s="3" t="s">
        <v>39</v>
      </c>
      <c r="I30" s="3">
        <v>491.92</v>
      </c>
      <c r="J30" s="3">
        <v>2</v>
      </c>
      <c r="K30" s="3">
        <v>79.930000000000007</v>
      </c>
      <c r="L30" s="3">
        <v>0.25</v>
      </c>
    </row>
    <row r="31" spans="1:12" ht="15.75" customHeight="1">
      <c r="A31" s="3" t="s">
        <v>110</v>
      </c>
      <c r="B31" s="25">
        <v>45698</v>
      </c>
      <c r="C31" s="3" t="s">
        <v>28</v>
      </c>
      <c r="D31" s="3" t="s">
        <v>14</v>
      </c>
      <c r="E31" s="3" t="s">
        <v>15</v>
      </c>
      <c r="F31" s="3" t="s">
        <v>111</v>
      </c>
      <c r="G31" s="3" t="s">
        <v>112</v>
      </c>
      <c r="H31" s="3" t="s">
        <v>18</v>
      </c>
      <c r="I31" s="3">
        <v>1838.26</v>
      </c>
      <c r="J31" s="3">
        <v>9</v>
      </c>
      <c r="K31" s="3">
        <v>96.41</v>
      </c>
      <c r="L31" s="3">
        <v>0.18</v>
      </c>
    </row>
    <row r="32" spans="1:12" ht="15.75" customHeight="1">
      <c r="A32" s="3" t="s">
        <v>113</v>
      </c>
      <c r="B32" s="25">
        <v>45858</v>
      </c>
      <c r="C32" s="3" t="s">
        <v>28</v>
      </c>
      <c r="D32" s="3" t="s">
        <v>32</v>
      </c>
      <c r="E32" s="3" t="s">
        <v>15</v>
      </c>
      <c r="F32" s="3" t="s">
        <v>114</v>
      </c>
      <c r="G32" s="3" t="s">
        <v>115</v>
      </c>
      <c r="H32" s="3" t="s">
        <v>35</v>
      </c>
      <c r="I32" s="3">
        <v>194.86</v>
      </c>
      <c r="J32" s="3">
        <v>5</v>
      </c>
      <c r="K32" s="3">
        <v>69.540000000000006</v>
      </c>
      <c r="L32" s="3">
        <v>0.08</v>
      </c>
    </row>
    <row r="33" spans="1:12" ht="15.75" customHeight="1">
      <c r="A33" s="3" t="s">
        <v>116</v>
      </c>
      <c r="B33" s="25">
        <v>45792</v>
      </c>
      <c r="C33" s="3" t="s">
        <v>13</v>
      </c>
      <c r="D33" s="3" t="s">
        <v>32</v>
      </c>
      <c r="E33" s="3" t="s">
        <v>15</v>
      </c>
      <c r="F33" s="3" t="s">
        <v>117</v>
      </c>
      <c r="G33" s="3" t="s">
        <v>118</v>
      </c>
      <c r="H33" s="3" t="s">
        <v>35</v>
      </c>
      <c r="I33" s="3">
        <v>1241.1300000000001</v>
      </c>
      <c r="J33" s="3">
        <v>2</v>
      </c>
      <c r="K33" s="3">
        <v>151.79</v>
      </c>
      <c r="L33" s="3">
        <v>0.28000000000000003</v>
      </c>
    </row>
    <row r="34" spans="1:12" ht="15.75" customHeight="1">
      <c r="A34" s="3" t="s">
        <v>119</v>
      </c>
      <c r="B34" s="25">
        <v>45719</v>
      </c>
      <c r="C34" s="3" t="s">
        <v>13</v>
      </c>
      <c r="D34" s="3" t="s">
        <v>14</v>
      </c>
      <c r="E34" s="3" t="s">
        <v>15</v>
      </c>
      <c r="F34" s="3" t="s">
        <v>120</v>
      </c>
      <c r="G34" s="3" t="s">
        <v>121</v>
      </c>
      <c r="H34" s="3" t="s">
        <v>18</v>
      </c>
      <c r="I34" s="3">
        <v>1769.91</v>
      </c>
      <c r="J34" s="3">
        <v>10</v>
      </c>
      <c r="K34" s="3">
        <v>403.97</v>
      </c>
      <c r="L34" s="3">
        <v>0.01</v>
      </c>
    </row>
    <row r="35" spans="1:12" ht="15.75" customHeight="1">
      <c r="A35" s="3" t="s">
        <v>122</v>
      </c>
      <c r="B35" s="25">
        <v>45881</v>
      </c>
      <c r="C35" s="3" t="s">
        <v>20</v>
      </c>
      <c r="D35" s="3" t="s">
        <v>14</v>
      </c>
      <c r="E35" s="3" t="s">
        <v>15</v>
      </c>
      <c r="F35" s="3" t="s">
        <v>123</v>
      </c>
      <c r="G35" s="3" t="s">
        <v>124</v>
      </c>
      <c r="H35" s="3" t="s">
        <v>35</v>
      </c>
      <c r="I35" s="3">
        <v>1881.77</v>
      </c>
      <c r="J35" s="3">
        <v>3</v>
      </c>
      <c r="K35" s="3">
        <v>605.04999999999995</v>
      </c>
      <c r="L35" s="3">
        <v>0.25</v>
      </c>
    </row>
    <row r="36" spans="1:12" ht="15.75" customHeight="1">
      <c r="A36" s="3" t="s">
        <v>125</v>
      </c>
      <c r="B36" s="25">
        <v>45849</v>
      </c>
      <c r="C36" s="3" t="s">
        <v>28</v>
      </c>
      <c r="D36" s="3" t="s">
        <v>21</v>
      </c>
      <c r="E36" s="3" t="s">
        <v>15</v>
      </c>
      <c r="F36" s="3" t="s">
        <v>126</v>
      </c>
      <c r="G36" s="3" t="s">
        <v>127</v>
      </c>
      <c r="H36" s="3" t="s">
        <v>18</v>
      </c>
      <c r="I36" s="3">
        <v>1486.02</v>
      </c>
      <c r="J36" s="3">
        <v>4</v>
      </c>
      <c r="K36" s="3">
        <v>470.08</v>
      </c>
      <c r="L36" s="3">
        <v>0.28000000000000003</v>
      </c>
    </row>
    <row r="37" spans="1:12" ht="15.75" customHeight="1">
      <c r="A37" s="3" t="s">
        <v>128</v>
      </c>
      <c r="B37" s="25">
        <v>45951</v>
      </c>
      <c r="C37" s="3" t="s">
        <v>41</v>
      </c>
      <c r="D37" s="3" t="s">
        <v>14</v>
      </c>
      <c r="E37" s="3" t="s">
        <v>15</v>
      </c>
      <c r="F37" s="3" t="s">
        <v>129</v>
      </c>
      <c r="G37" s="3" t="s">
        <v>130</v>
      </c>
      <c r="H37" s="3" t="s">
        <v>39</v>
      </c>
      <c r="I37" s="3">
        <v>192.67</v>
      </c>
      <c r="J37" s="3">
        <v>8</v>
      </c>
      <c r="K37" s="3">
        <v>35.729999999999997</v>
      </c>
      <c r="L37" s="3">
        <v>0.25</v>
      </c>
    </row>
    <row r="38" spans="1:12" ht="15.75" customHeight="1">
      <c r="A38" s="3" t="s">
        <v>131</v>
      </c>
      <c r="B38" s="25">
        <v>45941</v>
      </c>
      <c r="C38" s="3" t="s">
        <v>41</v>
      </c>
      <c r="D38" s="3" t="s">
        <v>14</v>
      </c>
      <c r="E38" s="3" t="s">
        <v>15</v>
      </c>
      <c r="F38" s="3" t="s">
        <v>132</v>
      </c>
      <c r="G38" s="3" t="s">
        <v>133</v>
      </c>
      <c r="H38" s="3" t="s">
        <v>18</v>
      </c>
      <c r="I38" s="3">
        <v>134.30000000000001</v>
      </c>
      <c r="J38" s="3">
        <v>7</v>
      </c>
      <c r="K38" s="3">
        <v>30.2</v>
      </c>
      <c r="L38" s="3">
        <v>0.14000000000000001</v>
      </c>
    </row>
    <row r="39" spans="1:12" ht="15.75" customHeight="1">
      <c r="A39" s="3" t="s">
        <v>134</v>
      </c>
      <c r="B39" s="25">
        <v>45684</v>
      </c>
      <c r="C39" s="3" t="s">
        <v>20</v>
      </c>
      <c r="D39" s="3" t="s">
        <v>32</v>
      </c>
      <c r="E39" s="3" t="s">
        <v>15</v>
      </c>
      <c r="F39" s="3" t="s">
        <v>135</v>
      </c>
      <c r="G39" s="3" t="s">
        <v>136</v>
      </c>
      <c r="H39" s="3" t="s">
        <v>35</v>
      </c>
      <c r="I39" s="3">
        <v>1758.53</v>
      </c>
      <c r="J39" s="3">
        <v>10</v>
      </c>
      <c r="K39" s="3">
        <v>422.09</v>
      </c>
      <c r="L39" s="3">
        <v>0.24</v>
      </c>
    </row>
    <row r="40" spans="1:12" ht="15.75" customHeight="1">
      <c r="A40" s="3" t="s">
        <v>137</v>
      </c>
      <c r="B40" s="25">
        <v>46013</v>
      </c>
      <c r="C40" s="3" t="s">
        <v>20</v>
      </c>
      <c r="D40" s="3" t="s">
        <v>14</v>
      </c>
      <c r="E40" s="3" t="s">
        <v>15</v>
      </c>
      <c r="F40" s="3" t="s">
        <v>138</v>
      </c>
      <c r="G40" s="3" t="s">
        <v>139</v>
      </c>
      <c r="H40" s="3" t="s">
        <v>35</v>
      </c>
      <c r="I40" s="3">
        <v>940.78</v>
      </c>
      <c r="J40" s="3">
        <v>5</v>
      </c>
      <c r="K40" s="3">
        <v>336.8</v>
      </c>
      <c r="L40" s="3">
        <v>0.12</v>
      </c>
    </row>
    <row r="41" spans="1:12" ht="15.75" customHeight="1">
      <c r="A41" s="3" t="s">
        <v>140</v>
      </c>
      <c r="B41" s="25">
        <v>45979</v>
      </c>
      <c r="C41" s="3" t="s">
        <v>28</v>
      </c>
      <c r="D41" s="3" t="s">
        <v>32</v>
      </c>
      <c r="E41" s="3" t="s">
        <v>15</v>
      </c>
      <c r="F41" s="3" t="s">
        <v>141</v>
      </c>
      <c r="G41" s="3" t="s">
        <v>142</v>
      </c>
      <c r="H41" s="3" t="s">
        <v>18</v>
      </c>
      <c r="I41" s="3">
        <v>1117.02</v>
      </c>
      <c r="J41" s="3">
        <v>4</v>
      </c>
      <c r="K41" s="3">
        <v>167.64</v>
      </c>
      <c r="L41" s="3">
        <v>0.15</v>
      </c>
    </row>
    <row r="42" spans="1:12" ht="15.75" customHeight="1">
      <c r="A42" s="3" t="s">
        <v>143</v>
      </c>
      <c r="B42" s="25">
        <v>45876</v>
      </c>
      <c r="C42" s="3" t="s">
        <v>13</v>
      </c>
      <c r="D42" s="3" t="s">
        <v>14</v>
      </c>
      <c r="E42" s="3" t="s">
        <v>15</v>
      </c>
      <c r="F42" s="3" t="s">
        <v>144</v>
      </c>
      <c r="G42" s="3" t="s">
        <v>145</v>
      </c>
      <c r="H42" s="3" t="s">
        <v>35</v>
      </c>
      <c r="I42" s="3">
        <v>1329.2</v>
      </c>
      <c r="J42" s="3">
        <v>8</v>
      </c>
      <c r="K42" s="3">
        <v>308.12</v>
      </c>
      <c r="L42" s="3">
        <v>0.17</v>
      </c>
    </row>
    <row r="43" spans="1:12" ht="15.75" customHeight="1">
      <c r="A43" s="3" t="s">
        <v>146</v>
      </c>
      <c r="B43" s="25">
        <v>45923</v>
      </c>
      <c r="C43" s="3" t="s">
        <v>13</v>
      </c>
      <c r="D43" s="3" t="s">
        <v>21</v>
      </c>
      <c r="E43" s="3" t="s">
        <v>15</v>
      </c>
      <c r="F43" s="3" t="s">
        <v>147</v>
      </c>
      <c r="G43" s="3" t="s">
        <v>148</v>
      </c>
      <c r="H43" s="3" t="s">
        <v>18</v>
      </c>
      <c r="I43" s="3">
        <v>527.5</v>
      </c>
      <c r="J43" s="3">
        <v>7</v>
      </c>
      <c r="K43" s="3">
        <v>192.06</v>
      </c>
      <c r="L43" s="3">
        <v>0.02</v>
      </c>
    </row>
    <row r="44" spans="1:12" ht="15.75" customHeight="1">
      <c r="A44" s="3" t="s">
        <v>149</v>
      </c>
      <c r="B44" s="25">
        <v>45691</v>
      </c>
      <c r="C44" s="3" t="s">
        <v>20</v>
      </c>
      <c r="D44" s="3" t="s">
        <v>14</v>
      </c>
      <c r="E44" s="3" t="s">
        <v>15</v>
      </c>
      <c r="F44" s="3" t="s">
        <v>150</v>
      </c>
      <c r="G44" s="3" t="s">
        <v>151</v>
      </c>
      <c r="H44" s="3" t="s">
        <v>18</v>
      </c>
      <c r="I44" s="3">
        <v>728.73</v>
      </c>
      <c r="J44" s="3">
        <v>8</v>
      </c>
      <c r="K44" s="3">
        <v>158.99</v>
      </c>
      <c r="L44" s="3">
        <v>0.01</v>
      </c>
    </row>
    <row r="45" spans="1:12" ht="15.75" customHeight="1">
      <c r="A45" s="3" t="s">
        <v>152</v>
      </c>
      <c r="B45" s="25">
        <v>45947</v>
      </c>
      <c r="C45" s="3" t="s">
        <v>20</v>
      </c>
      <c r="D45" s="3" t="s">
        <v>21</v>
      </c>
      <c r="E45" s="3" t="s">
        <v>15</v>
      </c>
      <c r="F45" s="3" t="s">
        <v>153</v>
      </c>
      <c r="G45" s="3" t="s">
        <v>154</v>
      </c>
      <c r="H45" s="3" t="s">
        <v>35</v>
      </c>
      <c r="I45" s="3">
        <v>1948.51</v>
      </c>
      <c r="J45" s="3">
        <v>9</v>
      </c>
      <c r="K45" s="3">
        <v>186.79</v>
      </c>
      <c r="L45" s="3">
        <v>0.24</v>
      </c>
    </row>
    <row r="46" spans="1:12" ht="15.75" customHeight="1">
      <c r="A46" s="3" t="s">
        <v>155</v>
      </c>
      <c r="B46" s="25">
        <v>45717</v>
      </c>
      <c r="C46" s="3" t="s">
        <v>28</v>
      </c>
      <c r="D46" s="3" t="s">
        <v>14</v>
      </c>
      <c r="E46" s="3" t="s">
        <v>15</v>
      </c>
      <c r="F46" s="3" t="s">
        <v>156</v>
      </c>
      <c r="G46" s="3" t="s">
        <v>157</v>
      </c>
      <c r="H46" s="3" t="s">
        <v>35</v>
      </c>
      <c r="I46" s="3">
        <v>1648.64</v>
      </c>
      <c r="J46" s="3">
        <v>3</v>
      </c>
      <c r="K46" s="3">
        <v>450.65</v>
      </c>
      <c r="L46" s="3">
        <v>0.2</v>
      </c>
    </row>
    <row r="47" spans="1:12" ht="15.75" customHeight="1">
      <c r="A47" s="3" t="s">
        <v>158</v>
      </c>
      <c r="B47" s="25">
        <v>45677</v>
      </c>
      <c r="C47" s="3" t="s">
        <v>41</v>
      </c>
      <c r="D47" s="3" t="s">
        <v>32</v>
      </c>
      <c r="E47" s="3" t="s">
        <v>15</v>
      </c>
      <c r="F47" s="3" t="s">
        <v>159</v>
      </c>
      <c r="G47" s="3" t="s">
        <v>160</v>
      </c>
      <c r="H47" s="3" t="s">
        <v>35</v>
      </c>
      <c r="I47" s="3">
        <v>181.6</v>
      </c>
      <c r="J47" s="3">
        <v>5</v>
      </c>
      <c r="K47" s="3">
        <v>50.35</v>
      </c>
      <c r="L47" s="3">
        <v>0.05</v>
      </c>
    </row>
    <row r="48" spans="1:12" ht="15.75" customHeight="1">
      <c r="A48" s="3" t="s">
        <v>161</v>
      </c>
      <c r="B48" s="25">
        <v>45769</v>
      </c>
      <c r="C48" s="3" t="s">
        <v>13</v>
      </c>
      <c r="D48" s="3" t="s">
        <v>21</v>
      </c>
      <c r="E48" s="3" t="s">
        <v>15</v>
      </c>
      <c r="F48" s="3" t="s">
        <v>162</v>
      </c>
      <c r="G48" s="3" t="s">
        <v>163</v>
      </c>
      <c r="H48" s="3" t="s">
        <v>39</v>
      </c>
      <c r="I48" s="3">
        <v>1740.41</v>
      </c>
      <c r="J48" s="3">
        <v>10</v>
      </c>
      <c r="K48" s="3">
        <v>565.72</v>
      </c>
      <c r="L48" s="3">
        <v>0.2</v>
      </c>
    </row>
    <row r="49" spans="1:12" ht="15.75" customHeight="1">
      <c r="A49" s="3" t="s">
        <v>164</v>
      </c>
      <c r="B49" s="25">
        <v>45709</v>
      </c>
      <c r="C49" s="3" t="s">
        <v>13</v>
      </c>
      <c r="D49" s="3" t="s">
        <v>32</v>
      </c>
      <c r="E49" s="3" t="s">
        <v>15</v>
      </c>
      <c r="F49" s="3" t="s">
        <v>165</v>
      </c>
      <c r="G49" s="3" t="s">
        <v>166</v>
      </c>
      <c r="H49" s="3" t="s">
        <v>35</v>
      </c>
      <c r="I49" s="3">
        <v>1011.74</v>
      </c>
      <c r="J49" s="3">
        <v>8</v>
      </c>
      <c r="K49" s="3">
        <v>58.48</v>
      </c>
      <c r="L49" s="3">
        <v>0</v>
      </c>
    </row>
    <row r="50" spans="1:12" ht="15.75" customHeight="1">
      <c r="A50" s="3" t="s">
        <v>167</v>
      </c>
      <c r="B50" s="25">
        <v>45718</v>
      </c>
      <c r="C50" s="3" t="s">
        <v>20</v>
      </c>
      <c r="D50" s="3" t="s">
        <v>21</v>
      </c>
      <c r="E50" s="3" t="s">
        <v>15</v>
      </c>
      <c r="F50" s="3" t="s">
        <v>168</v>
      </c>
      <c r="G50" s="3" t="s">
        <v>169</v>
      </c>
      <c r="H50" s="3" t="s">
        <v>35</v>
      </c>
      <c r="I50" s="3">
        <v>1568.93</v>
      </c>
      <c r="J50" s="3">
        <v>7</v>
      </c>
      <c r="K50" s="3">
        <v>460.99</v>
      </c>
      <c r="L50" s="3">
        <v>0.12</v>
      </c>
    </row>
    <row r="51" spans="1:12" ht="15.75" customHeight="1">
      <c r="A51" s="3" t="s">
        <v>170</v>
      </c>
      <c r="B51" s="25">
        <v>45733</v>
      </c>
      <c r="C51" s="3" t="s">
        <v>28</v>
      </c>
      <c r="D51" s="3" t="s">
        <v>21</v>
      </c>
      <c r="E51" s="3" t="s">
        <v>15</v>
      </c>
      <c r="F51" s="3" t="s">
        <v>171</v>
      </c>
      <c r="G51" s="3" t="s">
        <v>172</v>
      </c>
      <c r="H51" s="3" t="s">
        <v>39</v>
      </c>
      <c r="I51" s="3">
        <v>683.02</v>
      </c>
      <c r="J51" s="3">
        <v>4</v>
      </c>
      <c r="K51" s="3">
        <v>44.56</v>
      </c>
      <c r="L51" s="3">
        <v>0.17</v>
      </c>
    </row>
    <row r="52" spans="1:12" ht="15.75" customHeight="1">
      <c r="A52" s="3" t="s">
        <v>173</v>
      </c>
      <c r="B52" s="25">
        <v>45734</v>
      </c>
      <c r="C52" s="3" t="s">
        <v>13</v>
      </c>
      <c r="D52" s="3" t="s">
        <v>21</v>
      </c>
      <c r="E52" s="3" t="s">
        <v>15</v>
      </c>
      <c r="F52" s="3" t="s">
        <v>174</v>
      </c>
      <c r="G52" s="3" t="s">
        <v>175</v>
      </c>
      <c r="H52" s="3" t="s">
        <v>18</v>
      </c>
      <c r="I52" s="3">
        <v>1496.75</v>
      </c>
      <c r="J52" s="3">
        <v>1</v>
      </c>
      <c r="K52" s="3">
        <v>144.83000000000001</v>
      </c>
      <c r="L52" s="3">
        <v>0.13</v>
      </c>
    </row>
    <row r="53" spans="1:12" ht="15.75" customHeight="1">
      <c r="A53" s="3" t="s">
        <v>176</v>
      </c>
      <c r="B53" s="25">
        <v>45795</v>
      </c>
      <c r="C53" s="3" t="s">
        <v>13</v>
      </c>
      <c r="D53" s="3" t="s">
        <v>14</v>
      </c>
      <c r="E53" s="3" t="s">
        <v>15</v>
      </c>
      <c r="F53" s="3" t="s">
        <v>177</v>
      </c>
      <c r="G53" s="3" t="s">
        <v>178</v>
      </c>
      <c r="H53" s="3" t="s">
        <v>35</v>
      </c>
      <c r="I53" s="3">
        <v>424.82</v>
      </c>
      <c r="J53" s="3">
        <v>9</v>
      </c>
      <c r="K53" s="3">
        <v>162.72</v>
      </c>
      <c r="L53" s="3">
        <v>0.27</v>
      </c>
    </row>
    <row r="54" spans="1:12" ht="15.75" customHeight="1">
      <c r="A54" s="3" t="s">
        <v>179</v>
      </c>
      <c r="B54" s="25">
        <v>45726</v>
      </c>
      <c r="C54" s="3" t="s">
        <v>20</v>
      </c>
      <c r="D54" s="3" t="s">
        <v>14</v>
      </c>
      <c r="E54" s="3" t="s">
        <v>15</v>
      </c>
      <c r="F54" s="3" t="s">
        <v>180</v>
      </c>
      <c r="G54" s="3" t="s">
        <v>181</v>
      </c>
      <c r="H54" s="3" t="s">
        <v>18</v>
      </c>
      <c r="I54" s="3">
        <v>1994.98</v>
      </c>
      <c r="J54" s="3">
        <v>7</v>
      </c>
      <c r="K54" s="3">
        <v>361.57</v>
      </c>
      <c r="L54" s="3">
        <v>0.06</v>
      </c>
    </row>
    <row r="55" spans="1:12" ht="15.75" customHeight="1">
      <c r="A55" s="3" t="s">
        <v>182</v>
      </c>
      <c r="B55" s="25">
        <v>45933</v>
      </c>
      <c r="C55" s="3" t="s">
        <v>20</v>
      </c>
      <c r="D55" s="3" t="s">
        <v>32</v>
      </c>
      <c r="E55" s="3" t="s">
        <v>15</v>
      </c>
      <c r="F55" s="3" t="s">
        <v>183</v>
      </c>
      <c r="G55" s="3" t="s">
        <v>184</v>
      </c>
      <c r="H55" s="3" t="s">
        <v>39</v>
      </c>
      <c r="I55" s="3">
        <v>1970.76</v>
      </c>
      <c r="J55" s="3">
        <v>9</v>
      </c>
      <c r="K55" s="3">
        <v>683.91</v>
      </c>
      <c r="L55" s="3">
        <v>0.02</v>
      </c>
    </row>
    <row r="56" spans="1:12" ht="15.75" customHeight="1">
      <c r="A56" s="3" t="s">
        <v>185</v>
      </c>
      <c r="B56" s="25">
        <v>45994</v>
      </c>
      <c r="C56" s="3" t="s">
        <v>28</v>
      </c>
      <c r="D56" s="3" t="s">
        <v>14</v>
      </c>
      <c r="E56" s="3" t="s">
        <v>15</v>
      </c>
      <c r="F56" s="3" t="s">
        <v>186</v>
      </c>
      <c r="G56" s="3" t="s">
        <v>187</v>
      </c>
      <c r="H56" s="3" t="s">
        <v>39</v>
      </c>
      <c r="I56" s="3">
        <v>896.36</v>
      </c>
      <c r="J56" s="3">
        <v>6</v>
      </c>
      <c r="K56" s="3">
        <v>181.66</v>
      </c>
      <c r="L56" s="3">
        <v>0.16</v>
      </c>
    </row>
    <row r="57" spans="1:12" ht="15.75" customHeight="1">
      <c r="A57" s="3" t="s">
        <v>188</v>
      </c>
      <c r="B57" s="25">
        <v>45735</v>
      </c>
      <c r="C57" s="3" t="s">
        <v>41</v>
      </c>
      <c r="D57" s="3" t="s">
        <v>14</v>
      </c>
      <c r="E57" s="3" t="s">
        <v>15</v>
      </c>
      <c r="F57" s="3" t="s">
        <v>189</v>
      </c>
      <c r="G57" s="3" t="s">
        <v>190</v>
      </c>
      <c r="H57" s="3" t="s">
        <v>35</v>
      </c>
      <c r="I57" s="3">
        <v>413.36</v>
      </c>
      <c r="J57" s="3">
        <v>5</v>
      </c>
      <c r="K57" s="3">
        <v>128.26</v>
      </c>
      <c r="L57" s="3">
        <v>0.02</v>
      </c>
    </row>
    <row r="58" spans="1:12" ht="15.75" customHeight="1">
      <c r="A58" s="3" t="s">
        <v>191</v>
      </c>
      <c r="B58" s="25">
        <v>45938</v>
      </c>
      <c r="C58" s="3" t="s">
        <v>28</v>
      </c>
      <c r="D58" s="3" t="s">
        <v>21</v>
      </c>
      <c r="E58" s="3" t="s">
        <v>15</v>
      </c>
      <c r="F58" s="3" t="s">
        <v>192</v>
      </c>
      <c r="G58" s="3" t="s">
        <v>193</v>
      </c>
      <c r="H58" s="3" t="s">
        <v>18</v>
      </c>
      <c r="I58" s="3">
        <v>1819.14</v>
      </c>
      <c r="J58" s="3">
        <v>3</v>
      </c>
      <c r="K58" s="3">
        <v>717.51</v>
      </c>
      <c r="L58" s="3">
        <v>7.0000000000000007E-2</v>
      </c>
    </row>
    <row r="59" spans="1:12" ht="15.75" customHeight="1">
      <c r="A59" s="3" t="s">
        <v>194</v>
      </c>
      <c r="B59" s="25">
        <v>45698</v>
      </c>
      <c r="C59" s="3" t="s">
        <v>41</v>
      </c>
      <c r="D59" s="3" t="s">
        <v>14</v>
      </c>
      <c r="E59" s="3" t="s">
        <v>15</v>
      </c>
      <c r="F59" s="3" t="s">
        <v>195</v>
      </c>
      <c r="G59" s="3" t="s">
        <v>196</v>
      </c>
      <c r="H59" s="3" t="s">
        <v>18</v>
      </c>
      <c r="I59" s="3">
        <v>188.39</v>
      </c>
      <c r="J59" s="3">
        <v>6</v>
      </c>
      <c r="K59" s="3">
        <v>23.26</v>
      </c>
      <c r="L59" s="3">
        <v>0.26</v>
      </c>
    </row>
    <row r="60" spans="1:12" ht="15.75" customHeight="1">
      <c r="A60" s="3" t="s">
        <v>197</v>
      </c>
      <c r="B60" s="25">
        <v>45815</v>
      </c>
      <c r="C60" s="3" t="s">
        <v>20</v>
      </c>
      <c r="D60" s="3" t="s">
        <v>21</v>
      </c>
      <c r="E60" s="3" t="s">
        <v>15</v>
      </c>
      <c r="F60" s="3" t="s">
        <v>198</v>
      </c>
      <c r="G60" s="3" t="s">
        <v>199</v>
      </c>
      <c r="H60" s="3" t="s">
        <v>18</v>
      </c>
      <c r="I60" s="3">
        <v>183.34</v>
      </c>
      <c r="J60" s="3">
        <v>5</v>
      </c>
      <c r="K60" s="3">
        <v>17.62</v>
      </c>
      <c r="L60" s="3">
        <v>0.16</v>
      </c>
    </row>
    <row r="61" spans="1:12" ht="15.75" customHeight="1">
      <c r="A61" s="3" t="s">
        <v>200</v>
      </c>
      <c r="B61" s="25">
        <v>45904</v>
      </c>
      <c r="C61" s="3" t="s">
        <v>28</v>
      </c>
      <c r="D61" s="3" t="s">
        <v>14</v>
      </c>
      <c r="E61" s="3" t="s">
        <v>15</v>
      </c>
      <c r="F61" s="3" t="s">
        <v>201</v>
      </c>
      <c r="G61" s="3" t="s">
        <v>202</v>
      </c>
      <c r="H61" s="3" t="s">
        <v>18</v>
      </c>
      <c r="I61" s="3">
        <v>1453.99</v>
      </c>
      <c r="J61" s="3">
        <v>9</v>
      </c>
      <c r="K61" s="3">
        <v>237.69</v>
      </c>
      <c r="L61" s="3">
        <v>0.19</v>
      </c>
    </row>
    <row r="62" spans="1:12" ht="15.75" customHeight="1">
      <c r="A62" s="3" t="s">
        <v>203</v>
      </c>
      <c r="B62" s="25">
        <v>45785</v>
      </c>
      <c r="C62" s="3" t="s">
        <v>13</v>
      </c>
      <c r="D62" s="3" t="s">
        <v>14</v>
      </c>
      <c r="E62" s="3" t="s">
        <v>15</v>
      </c>
      <c r="F62" s="3" t="s">
        <v>204</v>
      </c>
      <c r="G62" s="3" t="s">
        <v>205</v>
      </c>
      <c r="H62" s="3" t="s">
        <v>35</v>
      </c>
      <c r="I62" s="3">
        <v>417.59</v>
      </c>
      <c r="J62" s="3">
        <v>1</v>
      </c>
      <c r="K62" s="3">
        <v>119.95</v>
      </c>
      <c r="L62" s="3">
        <v>0.12</v>
      </c>
    </row>
    <row r="63" spans="1:12" ht="15.75" customHeight="1">
      <c r="A63" s="3" t="s">
        <v>206</v>
      </c>
      <c r="B63" s="25">
        <v>45810</v>
      </c>
      <c r="C63" s="3" t="s">
        <v>13</v>
      </c>
      <c r="D63" s="3" t="s">
        <v>32</v>
      </c>
      <c r="E63" s="3" t="s">
        <v>15</v>
      </c>
      <c r="F63" s="3" t="s">
        <v>207</v>
      </c>
      <c r="G63" s="3" t="s">
        <v>208</v>
      </c>
      <c r="H63" s="3" t="s">
        <v>39</v>
      </c>
      <c r="I63" s="3">
        <v>977.64</v>
      </c>
      <c r="J63" s="3">
        <v>7</v>
      </c>
      <c r="K63" s="3">
        <v>214.86</v>
      </c>
      <c r="L63" s="3">
        <v>0.2</v>
      </c>
    </row>
    <row r="64" spans="1:12" ht="15.75" customHeight="1">
      <c r="A64" s="3" t="s">
        <v>209</v>
      </c>
      <c r="B64" s="25">
        <v>45738</v>
      </c>
      <c r="C64" s="3" t="s">
        <v>20</v>
      </c>
      <c r="D64" s="3" t="s">
        <v>32</v>
      </c>
      <c r="E64" s="3" t="s">
        <v>15</v>
      </c>
      <c r="F64" s="3" t="s">
        <v>210</v>
      </c>
      <c r="G64" s="3" t="s">
        <v>211</v>
      </c>
      <c r="H64" s="3" t="s">
        <v>35</v>
      </c>
      <c r="I64" s="3">
        <v>1023.3</v>
      </c>
      <c r="J64" s="3">
        <v>6</v>
      </c>
      <c r="K64" s="3">
        <v>267.27999999999997</v>
      </c>
      <c r="L64" s="3">
        <v>0.02</v>
      </c>
    </row>
    <row r="65" spans="1:12" ht="15.75" customHeight="1">
      <c r="A65" s="3" t="s">
        <v>212</v>
      </c>
      <c r="B65" s="25">
        <v>45896</v>
      </c>
      <c r="C65" s="3" t="s">
        <v>28</v>
      </c>
      <c r="D65" s="3" t="s">
        <v>32</v>
      </c>
      <c r="E65" s="3" t="s">
        <v>15</v>
      </c>
      <c r="F65" s="3" t="s">
        <v>213</v>
      </c>
      <c r="G65" s="3" t="s">
        <v>214</v>
      </c>
      <c r="H65" s="3" t="s">
        <v>35</v>
      </c>
      <c r="I65" s="3">
        <v>327.85</v>
      </c>
      <c r="J65" s="3">
        <v>6</v>
      </c>
      <c r="K65" s="3">
        <v>73.34</v>
      </c>
      <c r="L65" s="3">
        <v>0.05</v>
      </c>
    </row>
    <row r="66" spans="1:12" ht="15.75" customHeight="1">
      <c r="A66" s="3" t="s">
        <v>215</v>
      </c>
      <c r="B66" s="25">
        <v>45801</v>
      </c>
      <c r="C66" s="3" t="s">
        <v>41</v>
      </c>
      <c r="D66" s="3" t="s">
        <v>21</v>
      </c>
      <c r="E66" s="3" t="s">
        <v>15</v>
      </c>
      <c r="F66" s="3" t="s">
        <v>216</v>
      </c>
      <c r="G66" s="3" t="s">
        <v>217</v>
      </c>
      <c r="H66" s="3" t="s">
        <v>18</v>
      </c>
      <c r="I66" s="3">
        <v>1893.28</v>
      </c>
      <c r="J66" s="3">
        <v>3</v>
      </c>
      <c r="K66" s="3">
        <v>620.61</v>
      </c>
      <c r="L66" s="3">
        <v>0.2</v>
      </c>
    </row>
    <row r="67" spans="1:12" ht="15.75" customHeight="1">
      <c r="A67" s="3" t="s">
        <v>218</v>
      </c>
      <c r="B67" s="25">
        <v>45764</v>
      </c>
      <c r="C67" s="3" t="s">
        <v>28</v>
      </c>
      <c r="D67" s="3" t="s">
        <v>32</v>
      </c>
      <c r="E67" s="3" t="s">
        <v>15</v>
      </c>
      <c r="F67" s="3" t="s">
        <v>219</v>
      </c>
      <c r="G67" s="3" t="s">
        <v>220</v>
      </c>
      <c r="H67" s="3" t="s">
        <v>35</v>
      </c>
      <c r="I67" s="3">
        <v>1635.46</v>
      </c>
      <c r="J67" s="3">
        <v>7</v>
      </c>
      <c r="K67" s="3">
        <v>176.5</v>
      </c>
      <c r="L67" s="3">
        <v>0.04</v>
      </c>
    </row>
    <row r="68" spans="1:12" ht="15.75" customHeight="1">
      <c r="A68" s="3" t="s">
        <v>221</v>
      </c>
      <c r="B68" s="25">
        <v>45936</v>
      </c>
      <c r="C68" s="3" t="s">
        <v>13</v>
      </c>
      <c r="D68" s="3" t="s">
        <v>14</v>
      </c>
      <c r="E68" s="3" t="s">
        <v>15</v>
      </c>
      <c r="F68" s="3" t="s">
        <v>222</v>
      </c>
      <c r="G68" s="3" t="s">
        <v>223</v>
      </c>
      <c r="H68" s="3" t="s">
        <v>18</v>
      </c>
      <c r="I68" s="3">
        <v>1865.98</v>
      </c>
      <c r="J68" s="3">
        <v>3</v>
      </c>
      <c r="K68" s="3">
        <v>331.52</v>
      </c>
      <c r="L68" s="3">
        <v>0.02</v>
      </c>
    </row>
    <row r="69" spans="1:12" ht="15.75" customHeight="1">
      <c r="A69" s="3" t="s">
        <v>224</v>
      </c>
      <c r="B69" s="25">
        <v>45870</v>
      </c>
      <c r="C69" s="3" t="s">
        <v>28</v>
      </c>
      <c r="D69" s="3" t="s">
        <v>21</v>
      </c>
      <c r="E69" s="3" t="s">
        <v>15</v>
      </c>
      <c r="F69" s="3" t="s">
        <v>225</v>
      </c>
      <c r="G69" s="3" t="s">
        <v>226</v>
      </c>
      <c r="H69" s="3" t="s">
        <v>39</v>
      </c>
      <c r="I69" s="3">
        <v>747.25</v>
      </c>
      <c r="J69" s="3">
        <v>7</v>
      </c>
      <c r="K69" s="3">
        <v>268.73</v>
      </c>
      <c r="L69" s="3">
        <v>0.13</v>
      </c>
    </row>
    <row r="70" spans="1:12" ht="15.75" customHeight="1">
      <c r="A70" s="3" t="s">
        <v>227</v>
      </c>
      <c r="B70" s="25">
        <v>45766</v>
      </c>
      <c r="C70" s="3" t="s">
        <v>28</v>
      </c>
      <c r="D70" s="3" t="s">
        <v>21</v>
      </c>
      <c r="E70" s="3" t="s">
        <v>15</v>
      </c>
      <c r="F70" s="3" t="s">
        <v>228</v>
      </c>
      <c r="G70" s="3" t="s">
        <v>229</v>
      </c>
      <c r="H70" s="3" t="s">
        <v>18</v>
      </c>
      <c r="I70" s="3">
        <v>675.05</v>
      </c>
      <c r="J70" s="3">
        <v>10</v>
      </c>
      <c r="K70" s="3">
        <v>184.81</v>
      </c>
      <c r="L70" s="3">
        <v>0.08</v>
      </c>
    </row>
    <row r="71" spans="1:12" ht="15.75" customHeight="1">
      <c r="A71" s="3" t="s">
        <v>230</v>
      </c>
      <c r="B71" s="25">
        <v>45834</v>
      </c>
      <c r="C71" s="3" t="s">
        <v>20</v>
      </c>
      <c r="D71" s="3" t="s">
        <v>14</v>
      </c>
      <c r="E71" s="3" t="s">
        <v>15</v>
      </c>
      <c r="F71" s="3" t="s">
        <v>231</v>
      </c>
      <c r="G71" s="3" t="s">
        <v>232</v>
      </c>
      <c r="H71" s="3" t="s">
        <v>18</v>
      </c>
      <c r="I71" s="3">
        <v>1335.36</v>
      </c>
      <c r="J71" s="3">
        <v>9</v>
      </c>
      <c r="K71" s="3">
        <v>165.23</v>
      </c>
      <c r="L71" s="3">
        <v>0.08</v>
      </c>
    </row>
    <row r="72" spans="1:12" ht="15.75" customHeight="1">
      <c r="A72" s="3" t="s">
        <v>233</v>
      </c>
      <c r="B72" s="25">
        <v>45766</v>
      </c>
      <c r="C72" s="3" t="s">
        <v>28</v>
      </c>
      <c r="D72" s="3" t="s">
        <v>32</v>
      </c>
      <c r="E72" s="3" t="s">
        <v>15</v>
      </c>
      <c r="F72" s="3" t="s">
        <v>234</v>
      </c>
      <c r="G72" s="3" t="s">
        <v>235</v>
      </c>
      <c r="H72" s="3" t="s">
        <v>35</v>
      </c>
      <c r="I72" s="3">
        <v>1746.75</v>
      </c>
      <c r="J72" s="3">
        <v>10</v>
      </c>
      <c r="K72" s="3">
        <v>504.57</v>
      </c>
      <c r="L72" s="3">
        <v>0.27</v>
      </c>
    </row>
    <row r="73" spans="1:12" ht="15.75" customHeight="1">
      <c r="A73" s="3" t="s">
        <v>236</v>
      </c>
      <c r="B73" s="25">
        <v>45673</v>
      </c>
      <c r="C73" s="3" t="s">
        <v>13</v>
      </c>
      <c r="D73" s="3" t="s">
        <v>14</v>
      </c>
      <c r="E73" s="3" t="s">
        <v>15</v>
      </c>
      <c r="F73" s="3" t="s">
        <v>237</v>
      </c>
      <c r="G73" s="3" t="s">
        <v>238</v>
      </c>
      <c r="H73" s="3" t="s">
        <v>35</v>
      </c>
      <c r="I73" s="3">
        <v>1292.6500000000001</v>
      </c>
      <c r="J73" s="3">
        <v>9</v>
      </c>
      <c r="K73" s="3">
        <v>339.52</v>
      </c>
      <c r="L73" s="3">
        <v>0.16</v>
      </c>
    </row>
    <row r="74" spans="1:12" ht="15.75" customHeight="1">
      <c r="A74" s="3" t="s">
        <v>239</v>
      </c>
      <c r="B74" s="25">
        <v>45764</v>
      </c>
      <c r="C74" s="3" t="s">
        <v>28</v>
      </c>
      <c r="D74" s="3" t="s">
        <v>14</v>
      </c>
      <c r="E74" s="3" t="s">
        <v>15</v>
      </c>
      <c r="F74" s="3" t="s">
        <v>240</v>
      </c>
      <c r="G74" s="3" t="s">
        <v>241</v>
      </c>
      <c r="H74" s="3" t="s">
        <v>39</v>
      </c>
      <c r="I74" s="3">
        <v>488.13</v>
      </c>
      <c r="J74" s="3">
        <v>8</v>
      </c>
      <c r="K74" s="3">
        <v>57.13</v>
      </c>
      <c r="L74" s="3">
        <v>0.05</v>
      </c>
    </row>
    <row r="75" spans="1:12" ht="15.75" customHeight="1">
      <c r="A75" s="3" t="s">
        <v>242</v>
      </c>
      <c r="B75" s="25">
        <v>45719</v>
      </c>
      <c r="C75" s="3" t="s">
        <v>28</v>
      </c>
      <c r="D75" s="3" t="s">
        <v>32</v>
      </c>
      <c r="E75" s="3" t="s">
        <v>15</v>
      </c>
      <c r="F75" s="3" t="s">
        <v>243</v>
      </c>
      <c r="G75" s="3" t="s">
        <v>244</v>
      </c>
      <c r="H75" s="3" t="s">
        <v>35</v>
      </c>
      <c r="I75" s="3">
        <v>1785.41</v>
      </c>
      <c r="J75" s="3">
        <v>10</v>
      </c>
      <c r="K75" s="3">
        <v>556.27</v>
      </c>
      <c r="L75" s="3">
        <v>0.09</v>
      </c>
    </row>
    <row r="76" spans="1:12" ht="15.75" customHeight="1">
      <c r="A76" s="3" t="s">
        <v>245</v>
      </c>
      <c r="B76" s="25">
        <v>45986</v>
      </c>
      <c r="C76" s="3" t="s">
        <v>28</v>
      </c>
      <c r="D76" s="3" t="s">
        <v>21</v>
      </c>
      <c r="E76" s="3" t="s">
        <v>15</v>
      </c>
      <c r="F76" s="3" t="s">
        <v>246</v>
      </c>
      <c r="G76" s="3" t="s">
        <v>247</v>
      </c>
      <c r="H76" s="3" t="s">
        <v>39</v>
      </c>
      <c r="I76" s="3">
        <v>1524.37</v>
      </c>
      <c r="J76" s="3">
        <v>8</v>
      </c>
      <c r="K76" s="3">
        <v>264.33999999999997</v>
      </c>
      <c r="L76" s="3">
        <v>0.06</v>
      </c>
    </row>
    <row r="77" spans="1:12" ht="15.75" customHeight="1">
      <c r="A77" s="3" t="s">
        <v>248</v>
      </c>
      <c r="B77" s="25">
        <v>45878</v>
      </c>
      <c r="C77" s="3" t="s">
        <v>28</v>
      </c>
      <c r="D77" s="3" t="s">
        <v>32</v>
      </c>
      <c r="E77" s="3" t="s">
        <v>15</v>
      </c>
      <c r="F77" s="3" t="s">
        <v>249</v>
      </c>
      <c r="G77" s="3" t="s">
        <v>250</v>
      </c>
      <c r="H77" s="3" t="s">
        <v>39</v>
      </c>
      <c r="I77" s="3">
        <v>1723.73</v>
      </c>
      <c r="J77" s="3">
        <v>8</v>
      </c>
      <c r="K77" s="3">
        <v>619.78</v>
      </c>
      <c r="L77" s="3">
        <v>0.02</v>
      </c>
    </row>
    <row r="78" spans="1:12" ht="15.75" customHeight="1">
      <c r="A78" s="3" t="s">
        <v>251</v>
      </c>
      <c r="B78" s="25">
        <v>45878</v>
      </c>
      <c r="C78" s="3" t="s">
        <v>41</v>
      </c>
      <c r="D78" s="3" t="s">
        <v>21</v>
      </c>
      <c r="E78" s="3" t="s">
        <v>15</v>
      </c>
      <c r="F78" s="3" t="s">
        <v>252</v>
      </c>
      <c r="G78" s="3" t="s">
        <v>253</v>
      </c>
      <c r="H78" s="3" t="s">
        <v>35</v>
      </c>
      <c r="I78" s="3">
        <v>304.81</v>
      </c>
      <c r="J78" s="3">
        <v>3</v>
      </c>
      <c r="K78" s="3">
        <v>75.63</v>
      </c>
      <c r="L78" s="3">
        <v>0.08</v>
      </c>
    </row>
    <row r="79" spans="1:12" ht="15.75" customHeight="1">
      <c r="A79" s="3" t="s">
        <v>254</v>
      </c>
      <c r="B79" s="25">
        <v>46011</v>
      </c>
      <c r="C79" s="3" t="s">
        <v>20</v>
      </c>
      <c r="D79" s="3" t="s">
        <v>21</v>
      </c>
      <c r="E79" s="3" t="s">
        <v>15</v>
      </c>
      <c r="F79" s="3" t="s">
        <v>255</v>
      </c>
      <c r="G79" s="3" t="s">
        <v>256</v>
      </c>
      <c r="H79" s="3" t="s">
        <v>39</v>
      </c>
      <c r="I79" s="3">
        <v>918.17</v>
      </c>
      <c r="J79" s="3">
        <v>9</v>
      </c>
      <c r="K79" s="3">
        <v>70.569999999999993</v>
      </c>
      <c r="L79" s="3">
        <v>0.2</v>
      </c>
    </row>
    <row r="80" spans="1:12" ht="15.75" customHeight="1">
      <c r="A80" s="3" t="s">
        <v>257</v>
      </c>
      <c r="B80" s="25">
        <v>45737</v>
      </c>
      <c r="C80" s="3" t="s">
        <v>28</v>
      </c>
      <c r="D80" s="3" t="s">
        <v>21</v>
      </c>
      <c r="E80" s="3" t="s">
        <v>15</v>
      </c>
      <c r="F80" s="3" t="s">
        <v>258</v>
      </c>
      <c r="G80" s="3" t="s">
        <v>259</v>
      </c>
      <c r="H80" s="3" t="s">
        <v>39</v>
      </c>
      <c r="I80" s="3">
        <v>1686.71</v>
      </c>
      <c r="J80" s="3">
        <v>6</v>
      </c>
      <c r="K80" s="3">
        <v>159.78</v>
      </c>
      <c r="L80" s="3">
        <v>0.27</v>
      </c>
    </row>
    <row r="81" spans="1:12" ht="15.75" customHeight="1">
      <c r="A81" s="3" t="s">
        <v>260</v>
      </c>
      <c r="B81" s="25">
        <v>45815</v>
      </c>
      <c r="C81" s="3" t="s">
        <v>13</v>
      </c>
      <c r="D81" s="3" t="s">
        <v>21</v>
      </c>
      <c r="E81" s="3" t="s">
        <v>15</v>
      </c>
      <c r="F81" s="3" t="s">
        <v>261</v>
      </c>
      <c r="G81" s="3" t="s">
        <v>262</v>
      </c>
      <c r="H81" s="3" t="s">
        <v>18</v>
      </c>
      <c r="I81" s="3">
        <v>744.42</v>
      </c>
      <c r="J81" s="3">
        <v>2</v>
      </c>
      <c r="K81" s="3">
        <v>239.46</v>
      </c>
      <c r="L81" s="3">
        <v>0.12</v>
      </c>
    </row>
    <row r="82" spans="1:12" ht="15.75" customHeight="1">
      <c r="A82" s="3" t="s">
        <v>263</v>
      </c>
      <c r="B82" s="25">
        <v>45822</v>
      </c>
      <c r="C82" s="3" t="s">
        <v>41</v>
      </c>
      <c r="D82" s="3" t="s">
        <v>32</v>
      </c>
      <c r="E82" s="3" t="s">
        <v>15</v>
      </c>
      <c r="F82" s="3" t="s">
        <v>264</v>
      </c>
      <c r="G82" s="3" t="s">
        <v>265</v>
      </c>
      <c r="H82" s="3" t="s">
        <v>18</v>
      </c>
      <c r="I82" s="3">
        <v>401.75</v>
      </c>
      <c r="J82" s="3">
        <v>3</v>
      </c>
      <c r="K82" s="3">
        <v>135.93</v>
      </c>
      <c r="L82" s="3">
        <v>0.11</v>
      </c>
    </row>
    <row r="83" spans="1:12" ht="15.75" customHeight="1">
      <c r="A83" s="3" t="s">
        <v>266</v>
      </c>
      <c r="B83" s="25">
        <v>45841</v>
      </c>
      <c r="C83" s="3" t="s">
        <v>41</v>
      </c>
      <c r="D83" s="3" t="s">
        <v>32</v>
      </c>
      <c r="E83" s="3" t="s">
        <v>15</v>
      </c>
      <c r="F83" s="3" t="s">
        <v>267</v>
      </c>
      <c r="G83" s="3" t="s">
        <v>268</v>
      </c>
      <c r="H83" s="3" t="s">
        <v>18</v>
      </c>
      <c r="I83" s="3">
        <v>932.66</v>
      </c>
      <c r="J83" s="3">
        <v>1</v>
      </c>
      <c r="K83" s="3">
        <v>149.46</v>
      </c>
      <c r="L83" s="3">
        <v>0.11</v>
      </c>
    </row>
    <row r="84" spans="1:12" ht="15.75" customHeight="1">
      <c r="A84" s="3" t="s">
        <v>269</v>
      </c>
      <c r="B84" s="25">
        <v>45967</v>
      </c>
      <c r="C84" s="3" t="s">
        <v>20</v>
      </c>
      <c r="D84" s="3" t="s">
        <v>32</v>
      </c>
      <c r="E84" s="3" t="s">
        <v>15</v>
      </c>
      <c r="F84" s="3" t="s">
        <v>270</v>
      </c>
      <c r="G84" s="3" t="s">
        <v>271</v>
      </c>
      <c r="H84" s="3" t="s">
        <v>18</v>
      </c>
      <c r="I84" s="3">
        <v>965.2</v>
      </c>
      <c r="J84" s="3">
        <v>7</v>
      </c>
      <c r="K84" s="3">
        <v>101.14</v>
      </c>
      <c r="L84" s="3">
        <v>0.19</v>
      </c>
    </row>
    <row r="85" spans="1:12" ht="15.75" customHeight="1">
      <c r="A85" s="3" t="s">
        <v>272</v>
      </c>
      <c r="B85" s="25">
        <v>45878</v>
      </c>
      <c r="C85" s="3" t="s">
        <v>41</v>
      </c>
      <c r="D85" s="3" t="s">
        <v>32</v>
      </c>
      <c r="E85" s="3" t="s">
        <v>15</v>
      </c>
      <c r="F85" s="3" t="s">
        <v>273</v>
      </c>
      <c r="G85" s="3" t="s">
        <v>274</v>
      </c>
      <c r="H85" s="3" t="s">
        <v>18</v>
      </c>
      <c r="I85" s="3">
        <v>387.7</v>
      </c>
      <c r="J85" s="3">
        <v>6</v>
      </c>
      <c r="K85" s="3">
        <v>138.15</v>
      </c>
      <c r="L85" s="3">
        <v>0.25</v>
      </c>
    </row>
    <row r="86" spans="1:12" ht="15.75" customHeight="1">
      <c r="A86" s="3" t="s">
        <v>275</v>
      </c>
      <c r="B86" s="25">
        <v>45834</v>
      </c>
      <c r="C86" s="3" t="s">
        <v>41</v>
      </c>
      <c r="D86" s="3" t="s">
        <v>14</v>
      </c>
      <c r="E86" s="3" t="s">
        <v>15</v>
      </c>
      <c r="F86" s="3" t="s">
        <v>276</v>
      </c>
      <c r="G86" s="3" t="s">
        <v>277</v>
      </c>
      <c r="H86" s="3" t="s">
        <v>35</v>
      </c>
      <c r="I86" s="3">
        <v>433.14</v>
      </c>
      <c r="J86" s="3">
        <v>5</v>
      </c>
      <c r="K86" s="3">
        <v>150.16</v>
      </c>
      <c r="L86" s="3">
        <v>0.12</v>
      </c>
    </row>
    <row r="87" spans="1:12" ht="15.75" customHeight="1">
      <c r="A87" s="3" t="s">
        <v>278</v>
      </c>
      <c r="B87" s="25">
        <v>46002</v>
      </c>
      <c r="C87" s="3" t="s">
        <v>20</v>
      </c>
      <c r="D87" s="3" t="s">
        <v>21</v>
      </c>
      <c r="E87" s="3" t="s">
        <v>15</v>
      </c>
      <c r="F87" s="3" t="s">
        <v>279</v>
      </c>
      <c r="G87" s="3" t="s">
        <v>280</v>
      </c>
      <c r="H87" s="3" t="s">
        <v>18</v>
      </c>
      <c r="I87" s="3">
        <v>163.66999999999999</v>
      </c>
      <c r="J87" s="3">
        <v>1</v>
      </c>
      <c r="K87" s="3">
        <v>47.8</v>
      </c>
      <c r="L87" s="3">
        <v>0.02</v>
      </c>
    </row>
    <row r="88" spans="1:12" ht="15.75" customHeight="1">
      <c r="A88" s="3" t="s">
        <v>281</v>
      </c>
      <c r="B88" s="25">
        <v>45927</v>
      </c>
      <c r="C88" s="3" t="s">
        <v>28</v>
      </c>
      <c r="D88" s="3" t="s">
        <v>32</v>
      </c>
      <c r="E88" s="3" t="s">
        <v>15</v>
      </c>
      <c r="F88" s="3" t="s">
        <v>282</v>
      </c>
      <c r="G88" s="3" t="s">
        <v>283</v>
      </c>
      <c r="H88" s="3" t="s">
        <v>39</v>
      </c>
      <c r="I88" s="3">
        <v>787.83</v>
      </c>
      <c r="J88" s="3">
        <v>10</v>
      </c>
      <c r="K88" s="3">
        <v>292.73</v>
      </c>
      <c r="L88" s="3">
        <v>0.21</v>
      </c>
    </row>
    <row r="89" spans="1:12" ht="15.75" customHeight="1">
      <c r="A89" s="3" t="s">
        <v>284</v>
      </c>
      <c r="B89" s="25">
        <v>45939</v>
      </c>
      <c r="C89" s="3" t="s">
        <v>28</v>
      </c>
      <c r="D89" s="3" t="s">
        <v>32</v>
      </c>
      <c r="E89" s="3" t="s">
        <v>15</v>
      </c>
      <c r="F89" s="3" t="s">
        <v>285</v>
      </c>
      <c r="G89" s="3" t="s">
        <v>286</v>
      </c>
      <c r="H89" s="3" t="s">
        <v>35</v>
      </c>
      <c r="I89" s="3">
        <v>497.74</v>
      </c>
      <c r="J89" s="3">
        <v>5</v>
      </c>
      <c r="K89" s="3">
        <v>167.18</v>
      </c>
      <c r="L89" s="3">
        <v>0.01</v>
      </c>
    </row>
    <row r="90" spans="1:12" ht="15.75" customHeight="1">
      <c r="A90" s="3" t="s">
        <v>287</v>
      </c>
      <c r="B90" s="25">
        <v>45888</v>
      </c>
      <c r="C90" s="3" t="s">
        <v>13</v>
      </c>
      <c r="D90" s="3" t="s">
        <v>21</v>
      </c>
      <c r="E90" s="3" t="s">
        <v>15</v>
      </c>
      <c r="F90" s="3" t="s">
        <v>288</v>
      </c>
      <c r="G90" s="3" t="s">
        <v>289</v>
      </c>
      <c r="H90" s="3" t="s">
        <v>39</v>
      </c>
      <c r="I90" s="3">
        <v>1937.62</v>
      </c>
      <c r="J90" s="3">
        <v>3</v>
      </c>
      <c r="K90" s="3">
        <v>589.79</v>
      </c>
      <c r="L90" s="3">
        <v>0.11</v>
      </c>
    </row>
    <row r="91" spans="1:12" ht="15.75" customHeight="1">
      <c r="A91" s="3" t="s">
        <v>290</v>
      </c>
      <c r="B91" s="25">
        <v>45743</v>
      </c>
      <c r="C91" s="3" t="s">
        <v>20</v>
      </c>
      <c r="D91" s="3" t="s">
        <v>14</v>
      </c>
      <c r="E91" s="3" t="s">
        <v>15</v>
      </c>
      <c r="F91" s="3" t="s">
        <v>291</v>
      </c>
      <c r="G91" s="3" t="s">
        <v>292</v>
      </c>
      <c r="H91" s="3" t="s">
        <v>39</v>
      </c>
      <c r="I91" s="3">
        <v>1370.2</v>
      </c>
      <c r="J91" s="3">
        <v>9</v>
      </c>
      <c r="K91" s="3">
        <v>546.02</v>
      </c>
      <c r="L91" s="3">
        <v>0.11</v>
      </c>
    </row>
    <row r="92" spans="1:12" ht="15.75" customHeight="1">
      <c r="A92" s="3" t="s">
        <v>293</v>
      </c>
      <c r="B92" s="25">
        <v>45696</v>
      </c>
      <c r="C92" s="3" t="s">
        <v>28</v>
      </c>
      <c r="D92" s="3" t="s">
        <v>32</v>
      </c>
      <c r="E92" s="3" t="s">
        <v>15</v>
      </c>
      <c r="F92" s="3" t="s">
        <v>294</v>
      </c>
      <c r="G92" s="3" t="s">
        <v>295</v>
      </c>
      <c r="H92" s="3" t="s">
        <v>39</v>
      </c>
      <c r="I92" s="3">
        <v>1014.69</v>
      </c>
      <c r="J92" s="3">
        <v>1</v>
      </c>
      <c r="K92" s="3">
        <v>146.44</v>
      </c>
      <c r="L92" s="3">
        <v>0.05</v>
      </c>
    </row>
    <row r="93" spans="1:12" ht="15.75" customHeight="1">
      <c r="A93" s="3" t="s">
        <v>296</v>
      </c>
      <c r="B93" s="25">
        <v>45919</v>
      </c>
      <c r="C93" s="3" t="s">
        <v>13</v>
      </c>
      <c r="D93" s="3" t="s">
        <v>14</v>
      </c>
      <c r="E93" s="3" t="s">
        <v>15</v>
      </c>
      <c r="F93" s="3" t="s">
        <v>297</v>
      </c>
      <c r="G93" s="3" t="s">
        <v>298</v>
      </c>
      <c r="H93" s="3" t="s">
        <v>39</v>
      </c>
      <c r="I93" s="3">
        <v>809.81</v>
      </c>
      <c r="J93" s="3">
        <v>6</v>
      </c>
      <c r="K93" s="3">
        <v>105.67</v>
      </c>
      <c r="L93" s="3">
        <v>0.19</v>
      </c>
    </row>
    <row r="94" spans="1:12" ht="15.75" customHeight="1">
      <c r="A94" s="3" t="s">
        <v>299</v>
      </c>
      <c r="B94" s="25">
        <v>45741</v>
      </c>
      <c r="C94" s="3" t="s">
        <v>20</v>
      </c>
      <c r="D94" s="3" t="s">
        <v>21</v>
      </c>
      <c r="E94" s="3" t="s">
        <v>15</v>
      </c>
      <c r="F94" s="3" t="s">
        <v>300</v>
      </c>
      <c r="G94" s="3" t="s">
        <v>301</v>
      </c>
      <c r="H94" s="3" t="s">
        <v>18</v>
      </c>
      <c r="I94" s="3">
        <v>933.32</v>
      </c>
      <c r="J94" s="3">
        <v>3</v>
      </c>
      <c r="K94" s="3">
        <v>310.8</v>
      </c>
      <c r="L94" s="3">
        <v>0.18</v>
      </c>
    </row>
    <row r="95" spans="1:12" ht="15.75" customHeight="1">
      <c r="A95" s="3" t="s">
        <v>302</v>
      </c>
      <c r="B95" s="25">
        <v>45830</v>
      </c>
      <c r="C95" s="3" t="s">
        <v>13</v>
      </c>
      <c r="D95" s="3" t="s">
        <v>21</v>
      </c>
      <c r="E95" s="3" t="s">
        <v>15</v>
      </c>
      <c r="F95" s="3" t="s">
        <v>303</v>
      </c>
      <c r="G95" s="3" t="s">
        <v>304</v>
      </c>
      <c r="H95" s="3" t="s">
        <v>35</v>
      </c>
      <c r="I95" s="3">
        <v>900.38</v>
      </c>
      <c r="J95" s="3">
        <v>5</v>
      </c>
      <c r="K95" s="3">
        <v>68.72</v>
      </c>
      <c r="L95" s="3">
        <v>0.25</v>
      </c>
    </row>
    <row r="96" spans="1:12" ht="15.75" customHeight="1">
      <c r="A96" s="3" t="s">
        <v>305</v>
      </c>
      <c r="B96" s="25">
        <v>46003</v>
      </c>
      <c r="C96" s="3" t="s">
        <v>13</v>
      </c>
      <c r="D96" s="3" t="s">
        <v>21</v>
      </c>
      <c r="E96" s="3" t="s">
        <v>15</v>
      </c>
      <c r="F96" s="3" t="s">
        <v>306</v>
      </c>
      <c r="G96" s="3" t="s">
        <v>307</v>
      </c>
      <c r="H96" s="3" t="s">
        <v>35</v>
      </c>
      <c r="I96" s="3">
        <v>1038.3399999999999</v>
      </c>
      <c r="J96" s="3">
        <v>9</v>
      </c>
      <c r="K96" s="3">
        <v>187.15</v>
      </c>
      <c r="L96" s="3">
        <v>0.13</v>
      </c>
    </row>
    <row r="97" spans="1:12" ht="15.75" customHeight="1">
      <c r="A97" s="3" t="s">
        <v>308</v>
      </c>
      <c r="B97" s="25">
        <v>45720</v>
      </c>
      <c r="C97" s="3" t="s">
        <v>28</v>
      </c>
      <c r="D97" s="3" t="s">
        <v>14</v>
      </c>
      <c r="E97" s="3" t="s">
        <v>15</v>
      </c>
      <c r="F97" s="3" t="s">
        <v>309</v>
      </c>
      <c r="G97" s="3" t="s">
        <v>310</v>
      </c>
      <c r="H97" s="3" t="s">
        <v>18</v>
      </c>
      <c r="I97" s="3">
        <v>791.5</v>
      </c>
      <c r="J97" s="3">
        <v>7</v>
      </c>
      <c r="K97" s="3">
        <v>275.18</v>
      </c>
      <c r="L97" s="3">
        <v>0.11</v>
      </c>
    </row>
    <row r="98" spans="1:12" ht="15.75" customHeight="1">
      <c r="A98" s="3" t="s">
        <v>311</v>
      </c>
      <c r="B98" s="25">
        <v>45864</v>
      </c>
      <c r="C98" s="3" t="s">
        <v>20</v>
      </c>
      <c r="D98" s="3" t="s">
        <v>32</v>
      </c>
      <c r="E98" s="3" t="s">
        <v>15</v>
      </c>
      <c r="F98" s="3" t="s">
        <v>312</v>
      </c>
      <c r="G98" s="3" t="s">
        <v>313</v>
      </c>
      <c r="H98" s="3" t="s">
        <v>39</v>
      </c>
      <c r="I98" s="3">
        <v>1406.07</v>
      </c>
      <c r="J98" s="3">
        <v>4</v>
      </c>
      <c r="K98" s="3">
        <v>97.98</v>
      </c>
      <c r="L98" s="3">
        <v>0.21</v>
      </c>
    </row>
    <row r="99" spans="1:12" ht="15.75" customHeight="1">
      <c r="A99" s="3" t="s">
        <v>314</v>
      </c>
      <c r="B99" s="25">
        <v>45809</v>
      </c>
      <c r="C99" s="3" t="s">
        <v>20</v>
      </c>
      <c r="D99" s="3" t="s">
        <v>21</v>
      </c>
      <c r="E99" s="3" t="s">
        <v>15</v>
      </c>
      <c r="F99" s="3" t="s">
        <v>315</v>
      </c>
      <c r="G99" s="3" t="s">
        <v>316</v>
      </c>
      <c r="H99" s="3" t="s">
        <v>39</v>
      </c>
      <c r="I99" s="3">
        <v>1774.27</v>
      </c>
      <c r="J99" s="3">
        <v>10</v>
      </c>
      <c r="K99" s="3">
        <v>408.23</v>
      </c>
      <c r="L99" s="3">
        <v>0.03</v>
      </c>
    </row>
    <row r="100" spans="1:12" ht="15.75" customHeight="1">
      <c r="A100" s="3" t="s">
        <v>317</v>
      </c>
      <c r="B100" s="25">
        <v>45769</v>
      </c>
      <c r="C100" s="3" t="s">
        <v>28</v>
      </c>
      <c r="D100" s="3" t="s">
        <v>21</v>
      </c>
      <c r="E100" s="3" t="s">
        <v>15</v>
      </c>
      <c r="F100" s="3" t="s">
        <v>318</v>
      </c>
      <c r="G100" s="3" t="s">
        <v>319</v>
      </c>
      <c r="H100" s="3" t="s">
        <v>35</v>
      </c>
      <c r="I100" s="3">
        <v>1298.04</v>
      </c>
      <c r="J100" s="3">
        <v>7</v>
      </c>
      <c r="K100" s="3">
        <v>368.23</v>
      </c>
      <c r="L100" s="3">
        <v>0.08</v>
      </c>
    </row>
    <row r="101" spans="1:12" ht="15.75" customHeight="1">
      <c r="A101" s="3" t="s">
        <v>320</v>
      </c>
      <c r="B101" s="25">
        <v>45841</v>
      </c>
      <c r="C101" s="3" t="s">
        <v>20</v>
      </c>
      <c r="D101" s="3" t="s">
        <v>14</v>
      </c>
      <c r="E101" s="3" t="s">
        <v>15</v>
      </c>
      <c r="F101" s="3" t="s">
        <v>321</v>
      </c>
      <c r="G101" s="3" t="s">
        <v>322</v>
      </c>
      <c r="H101" s="3" t="s">
        <v>18</v>
      </c>
      <c r="I101" s="3">
        <v>1041.47</v>
      </c>
      <c r="J101" s="3">
        <v>7</v>
      </c>
      <c r="K101" s="3">
        <v>91.72</v>
      </c>
      <c r="L101" s="3">
        <v>0.11</v>
      </c>
    </row>
    <row r="102" spans="1:12" ht="15.75" customHeight="1">
      <c r="A102" s="3" t="s">
        <v>323</v>
      </c>
      <c r="B102" s="25">
        <v>45862</v>
      </c>
      <c r="C102" s="3" t="s">
        <v>28</v>
      </c>
      <c r="D102" s="3" t="s">
        <v>14</v>
      </c>
      <c r="E102" s="3" t="s">
        <v>15</v>
      </c>
      <c r="F102" s="3" t="s">
        <v>324</v>
      </c>
      <c r="G102" s="3" t="s">
        <v>325</v>
      </c>
      <c r="H102" s="3" t="s">
        <v>35</v>
      </c>
      <c r="I102" s="3">
        <v>573.94000000000005</v>
      </c>
      <c r="J102" s="3">
        <v>10</v>
      </c>
      <c r="K102" s="3">
        <v>174.95</v>
      </c>
      <c r="L102" s="3">
        <v>7.0000000000000007E-2</v>
      </c>
    </row>
    <row r="103" spans="1:12" ht="15.75" customHeight="1">
      <c r="A103" s="3" t="s">
        <v>326</v>
      </c>
      <c r="B103" s="25">
        <v>46006</v>
      </c>
      <c r="C103" s="3" t="s">
        <v>13</v>
      </c>
      <c r="D103" s="3" t="s">
        <v>21</v>
      </c>
      <c r="E103" s="3" t="s">
        <v>15</v>
      </c>
      <c r="F103" s="3" t="s">
        <v>327</v>
      </c>
      <c r="G103" s="3" t="s">
        <v>328</v>
      </c>
      <c r="H103" s="3" t="s">
        <v>35</v>
      </c>
      <c r="I103" s="3">
        <v>1859.37</v>
      </c>
      <c r="J103" s="3">
        <v>10</v>
      </c>
      <c r="K103" s="3">
        <v>261.82</v>
      </c>
      <c r="L103" s="3">
        <v>0.18</v>
      </c>
    </row>
    <row r="104" spans="1:12" ht="15.75" customHeight="1">
      <c r="A104" s="3" t="s">
        <v>329</v>
      </c>
      <c r="B104" s="25">
        <v>46019</v>
      </c>
      <c r="C104" s="3" t="s">
        <v>13</v>
      </c>
      <c r="D104" s="3" t="s">
        <v>21</v>
      </c>
      <c r="E104" s="3" t="s">
        <v>15</v>
      </c>
      <c r="F104" s="3" t="s">
        <v>330</v>
      </c>
      <c r="G104" s="3" t="s">
        <v>331</v>
      </c>
      <c r="H104" s="3" t="s">
        <v>35</v>
      </c>
      <c r="I104" s="3">
        <v>1951.97</v>
      </c>
      <c r="J104" s="3">
        <v>8</v>
      </c>
      <c r="K104" s="3">
        <v>242.52</v>
      </c>
      <c r="L104" s="3">
        <v>0.25</v>
      </c>
    </row>
    <row r="105" spans="1:12" ht="15.75" customHeight="1">
      <c r="A105" s="3" t="s">
        <v>332</v>
      </c>
      <c r="B105" s="25">
        <v>45763</v>
      </c>
      <c r="C105" s="3" t="s">
        <v>13</v>
      </c>
      <c r="D105" s="3" t="s">
        <v>32</v>
      </c>
      <c r="E105" s="3" t="s">
        <v>15</v>
      </c>
      <c r="F105" s="3" t="s">
        <v>333</v>
      </c>
      <c r="G105" s="3" t="s">
        <v>334</v>
      </c>
      <c r="H105" s="3" t="s">
        <v>35</v>
      </c>
      <c r="I105" s="3">
        <v>1521.47</v>
      </c>
      <c r="J105" s="3">
        <v>1</v>
      </c>
      <c r="K105" s="3">
        <v>120.08</v>
      </c>
      <c r="L105" s="3">
        <v>0.04</v>
      </c>
    </row>
    <row r="106" spans="1:12" ht="15.75" customHeight="1">
      <c r="A106" s="3" t="s">
        <v>335</v>
      </c>
      <c r="B106" s="25">
        <v>45782</v>
      </c>
      <c r="C106" s="3" t="s">
        <v>13</v>
      </c>
      <c r="D106" s="3" t="s">
        <v>32</v>
      </c>
      <c r="E106" s="3" t="s">
        <v>15</v>
      </c>
      <c r="F106" s="3" t="s">
        <v>336</v>
      </c>
      <c r="G106" s="3" t="s">
        <v>337</v>
      </c>
      <c r="H106" s="3" t="s">
        <v>18</v>
      </c>
      <c r="I106" s="3">
        <v>158.16</v>
      </c>
      <c r="J106" s="3">
        <v>10</v>
      </c>
      <c r="K106" s="3">
        <v>24.33</v>
      </c>
      <c r="L106" s="3">
        <v>0.18</v>
      </c>
    </row>
    <row r="107" spans="1:12" ht="15.75" customHeight="1">
      <c r="A107" s="3" t="s">
        <v>338</v>
      </c>
      <c r="B107" s="25">
        <v>45799</v>
      </c>
      <c r="C107" s="3" t="s">
        <v>13</v>
      </c>
      <c r="D107" s="3" t="s">
        <v>21</v>
      </c>
      <c r="E107" s="3" t="s">
        <v>15</v>
      </c>
      <c r="F107" s="3" t="s">
        <v>339</v>
      </c>
      <c r="G107" s="3" t="s">
        <v>340</v>
      </c>
      <c r="H107" s="3" t="s">
        <v>18</v>
      </c>
      <c r="I107" s="3">
        <v>1578.82</v>
      </c>
      <c r="J107" s="3">
        <v>8</v>
      </c>
      <c r="K107" s="3">
        <v>253.36</v>
      </c>
      <c r="L107" s="3">
        <v>7.0000000000000007E-2</v>
      </c>
    </row>
    <row r="108" spans="1:12" ht="15.75" customHeight="1">
      <c r="A108" s="3" t="s">
        <v>341</v>
      </c>
      <c r="B108" s="25">
        <v>45936</v>
      </c>
      <c r="C108" s="3" t="s">
        <v>41</v>
      </c>
      <c r="D108" s="3" t="s">
        <v>21</v>
      </c>
      <c r="E108" s="3" t="s">
        <v>15</v>
      </c>
      <c r="F108" s="3" t="s">
        <v>342</v>
      </c>
      <c r="G108" s="3" t="s">
        <v>343</v>
      </c>
      <c r="H108" s="3" t="s">
        <v>39</v>
      </c>
      <c r="I108" s="3">
        <v>727.58</v>
      </c>
      <c r="J108" s="3">
        <v>9</v>
      </c>
      <c r="K108" s="3">
        <v>112.75</v>
      </c>
      <c r="L108" s="3">
        <v>0.02</v>
      </c>
    </row>
    <row r="109" spans="1:12" ht="15.75" customHeight="1">
      <c r="A109" s="3" t="s">
        <v>344</v>
      </c>
      <c r="B109" s="25">
        <v>45683</v>
      </c>
      <c r="C109" s="3" t="s">
        <v>13</v>
      </c>
      <c r="D109" s="3" t="s">
        <v>21</v>
      </c>
      <c r="E109" s="3" t="s">
        <v>15</v>
      </c>
      <c r="F109" s="3" t="s">
        <v>345</v>
      </c>
      <c r="G109" s="3" t="s">
        <v>346</v>
      </c>
      <c r="H109" s="3" t="s">
        <v>39</v>
      </c>
      <c r="I109" s="3">
        <v>1170.1400000000001</v>
      </c>
      <c r="J109" s="3">
        <v>5</v>
      </c>
      <c r="K109" s="3">
        <v>369.06</v>
      </c>
      <c r="L109" s="3">
        <v>0.21</v>
      </c>
    </row>
    <row r="110" spans="1:12" ht="15.75" customHeight="1">
      <c r="A110" s="3" t="s">
        <v>347</v>
      </c>
      <c r="B110" s="25">
        <v>45950</v>
      </c>
      <c r="C110" s="3" t="s">
        <v>28</v>
      </c>
      <c r="D110" s="3" t="s">
        <v>32</v>
      </c>
      <c r="E110" s="3" t="s">
        <v>15</v>
      </c>
      <c r="F110" s="3" t="s">
        <v>348</v>
      </c>
      <c r="G110" s="3" t="s">
        <v>349</v>
      </c>
      <c r="H110" s="3" t="s">
        <v>35</v>
      </c>
      <c r="I110" s="3">
        <v>518.80999999999995</v>
      </c>
      <c r="J110" s="3">
        <v>6</v>
      </c>
      <c r="K110" s="3">
        <v>137.55000000000001</v>
      </c>
      <c r="L110" s="3">
        <v>0.15</v>
      </c>
    </row>
    <row r="111" spans="1:12" ht="15.75" customHeight="1">
      <c r="A111" s="3" t="s">
        <v>350</v>
      </c>
      <c r="B111" s="25">
        <v>45729</v>
      </c>
      <c r="C111" s="3" t="s">
        <v>13</v>
      </c>
      <c r="D111" s="3" t="s">
        <v>14</v>
      </c>
      <c r="E111" s="3" t="s">
        <v>15</v>
      </c>
      <c r="F111" s="3" t="s">
        <v>351</v>
      </c>
      <c r="G111" s="3" t="s">
        <v>352</v>
      </c>
      <c r="H111" s="3" t="s">
        <v>35</v>
      </c>
      <c r="I111" s="3">
        <v>1763.25</v>
      </c>
      <c r="J111" s="3">
        <v>7</v>
      </c>
      <c r="K111" s="3">
        <v>560.69000000000005</v>
      </c>
      <c r="L111" s="3">
        <v>0.28999999999999998</v>
      </c>
    </row>
    <row r="112" spans="1:12" ht="15.75" customHeight="1">
      <c r="A112" s="3" t="s">
        <v>353</v>
      </c>
      <c r="B112" s="25">
        <v>45905</v>
      </c>
      <c r="C112" s="3" t="s">
        <v>41</v>
      </c>
      <c r="D112" s="3" t="s">
        <v>32</v>
      </c>
      <c r="E112" s="3" t="s">
        <v>15</v>
      </c>
      <c r="F112" s="3" t="s">
        <v>354</v>
      </c>
      <c r="G112" s="3" t="s">
        <v>355</v>
      </c>
      <c r="H112" s="3" t="s">
        <v>35</v>
      </c>
      <c r="I112" s="3">
        <v>1424.89</v>
      </c>
      <c r="J112" s="3">
        <v>1</v>
      </c>
      <c r="K112" s="3">
        <v>468.8</v>
      </c>
      <c r="L112" s="3">
        <v>0.25</v>
      </c>
    </row>
    <row r="113" spans="1:12" ht="15.75" customHeight="1">
      <c r="A113" s="3" t="s">
        <v>356</v>
      </c>
      <c r="B113" s="25">
        <v>45861</v>
      </c>
      <c r="C113" s="3" t="s">
        <v>13</v>
      </c>
      <c r="D113" s="3" t="s">
        <v>32</v>
      </c>
      <c r="E113" s="3" t="s">
        <v>15</v>
      </c>
      <c r="F113" s="3" t="s">
        <v>357</v>
      </c>
      <c r="G113" s="3" t="s">
        <v>358</v>
      </c>
      <c r="H113" s="3" t="s">
        <v>35</v>
      </c>
      <c r="I113" s="3">
        <v>1041.3800000000001</v>
      </c>
      <c r="J113" s="3">
        <v>2</v>
      </c>
      <c r="K113" s="3">
        <v>338.72</v>
      </c>
      <c r="L113" s="3">
        <v>0.14000000000000001</v>
      </c>
    </row>
    <row r="114" spans="1:12" ht="15.75" customHeight="1">
      <c r="A114" s="3" t="s">
        <v>359</v>
      </c>
      <c r="B114" s="25">
        <v>45833</v>
      </c>
      <c r="C114" s="3" t="s">
        <v>28</v>
      </c>
      <c r="D114" s="3" t="s">
        <v>14</v>
      </c>
      <c r="E114" s="3" t="s">
        <v>15</v>
      </c>
      <c r="F114" s="3" t="s">
        <v>360</v>
      </c>
      <c r="G114" s="3" t="s">
        <v>361</v>
      </c>
      <c r="H114" s="3" t="s">
        <v>35</v>
      </c>
      <c r="I114" s="3">
        <v>1620.77</v>
      </c>
      <c r="J114" s="3">
        <v>1</v>
      </c>
      <c r="K114" s="3">
        <v>542.28</v>
      </c>
      <c r="L114" s="3">
        <v>0.19</v>
      </c>
    </row>
    <row r="115" spans="1:12" ht="15.75" customHeight="1">
      <c r="A115" s="3" t="s">
        <v>362</v>
      </c>
      <c r="B115" s="25">
        <v>45826</v>
      </c>
      <c r="C115" s="3" t="s">
        <v>13</v>
      </c>
      <c r="D115" s="3" t="s">
        <v>14</v>
      </c>
      <c r="E115" s="3" t="s">
        <v>15</v>
      </c>
      <c r="F115" s="3" t="s">
        <v>363</v>
      </c>
      <c r="G115" s="3" t="s">
        <v>364</v>
      </c>
      <c r="H115" s="3" t="s">
        <v>39</v>
      </c>
      <c r="I115" s="3">
        <v>1098.78</v>
      </c>
      <c r="J115" s="3">
        <v>2</v>
      </c>
      <c r="K115" s="3">
        <v>303.47000000000003</v>
      </c>
      <c r="L115" s="3">
        <v>0.3</v>
      </c>
    </row>
    <row r="116" spans="1:12" ht="15.75" customHeight="1">
      <c r="A116" s="3" t="s">
        <v>365</v>
      </c>
      <c r="B116" s="25">
        <v>45798</v>
      </c>
      <c r="C116" s="3" t="s">
        <v>41</v>
      </c>
      <c r="D116" s="3" t="s">
        <v>21</v>
      </c>
      <c r="E116" s="3" t="s">
        <v>15</v>
      </c>
      <c r="F116" s="3" t="s">
        <v>366</v>
      </c>
      <c r="G116" s="3" t="s">
        <v>367</v>
      </c>
      <c r="H116" s="3" t="s">
        <v>18</v>
      </c>
      <c r="I116" s="3">
        <v>1445.75</v>
      </c>
      <c r="J116" s="3">
        <v>1</v>
      </c>
      <c r="K116" s="3">
        <v>441.23</v>
      </c>
      <c r="L116" s="3">
        <v>0.19</v>
      </c>
    </row>
    <row r="117" spans="1:12" ht="15.75" customHeight="1">
      <c r="A117" s="3" t="s">
        <v>368</v>
      </c>
      <c r="B117" s="25">
        <v>45856</v>
      </c>
      <c r="C117" s="3" t="s">
        <v>13</v>
      </c>
      <c r="D117" s="3" t="s">
        <v>32</v>
      </c>
      <c r="E117" s="3" t="s">
        <v>15</v>
      </c>
      <c r="F117" s="3" t="s">
        <v>369</v>
      </c>
      <c r="G117" s="3" t="s">
        <v>370</v>
      </c>
      <c r="H117" s="3" t="s">
        <v>35</v>
      </c>
      <c r="I117" s="3">
        <v>1116.6099999999999</v>
      </c>
      <c r="J117" s="3">
        <v>3</v>
      </c>
      <c r="K117" s="3">
        <v>231.7</v>
      </c>
      <c r="L117" s="3">
        <v>0.22</v>
      </c>
    </row>
    <row r="118" spans="1:12" ht="15.75" customHeight="1">
      <c r="A118" s="3" t="s">
        <v>371</v>
      </c>
      <c r="B118" s="25">
        <v>45680</v>
      </c>
      <c r="C118" s="3" t="s">
        <v>28</v>
      </c>
      <c r="D118" s="3" t="s">
        <v>32</v>
      </c>
      <c r="E118" s="3" t="s">
        <v>15</v>
      </c>
      <c r="F118" s="3" t="s">
        <v>372</v>
      </c>
      <c r="G118" s="3" t="s">
        <v>373</v>
      </c>
      <c r="H118" s="3" t="s">
        <v>35</v>
      </c>
      <c r="I118" s="3">
        <v>196.35</v>
      </c>
      <c r="J118" s="3">
        <v>3</v>
      </c>
      <c r="K118" s="3">
        <v>71.41</v>
      </c>
      <c r="L118" s="3">
        <v>0.27</v>
      </c>
    </row>
    <row r="119" spans="1:12" ht="15.75" customHeight="1">
      <c r="A119" s="3" t="s">
        <v>374</v>
      </c>
      <c r="B119" s="25">
        <v>45814</v>
      </c>
      <c r="C119" s="3" t="s">
        <v>13</v>
      </c>
      <c r="D119" s="3" t="s">
        <v>32</v>
      </c>
      <c r="E119" s="3" t="s">
        <v>15</v>
      </c>
      <c r="F119" s="3" t="s">
        <v>375</v>
      </c>
      <c r="G119" s="3" t="s">
        <v>376</v>
      </c>
      <c r="H119" s="3" t="s">
        <v>39</v>
      </c>
      <c r="I119" s="3">
        <v>801.5</v>
      </c>
      <c r="J119" s="3">
        <v>3</v>
      </c>
      <c r="K119" s="3">
        <v>294.83999999999997</v>
      </c>
      <c r="L119" s="3">
        <v>0.05</v>
      </c>
    </row>
    <row r="120" spans="1:12" ht="15.75" customHeight="1">
      <c r="A120" s="3" t="s">
        <v>377</v>
      </c>
      <c r="B120" s="25">
        <v>45768</v>
      </c>
      <c r="C120" s="3" t="s">
        <v>41</v>
      </c>
      <c r="D120" s="3" t="s">
        <v>14</v>
      </c>
      <c r="E120" s="3" t="s">
        <v>15</v>
      </c>
      <c r="F120" s="3" t="s">
        <v>378</v>
      </c>
      <c r="G120" s="3" t="s">
        <v>379</v>
      </c>
      <c r="H120" s="3" t="s">
        <v>35</v>
      </c>
      <c r="I120" s="3">
        <v>1336.37</v>
      </c>
      <c r="J120" s="3">
        <v>1</v>
      </c>
      <c r="K120" s="3">
        <v>506.43</v>
      </c>
      <c r="L120" s="3">
        <v>0.01</v>
      </c>
    </row>
    <row r="121" spans="1:12" ht="15.75" customHeight="1">
      <c r="A121" s="3" t="s">
        <v>380</v>
      </c>
      <c r="B121" s="25">
        <v>45851</v>
      </c>
      <c r="C121" s="3" t="s">
        <v>13</v>
      </c>
      <c r="D121" s="3" t="s">
        <v>21</v>
      </c>
      <c r="E121" s="3" t="s">
        <v>15</v>
      </c>
      <c r="F121" s="3" t="s">
        <v>381</v>
      </c>
      <c r="G121" s="3" t="s">
        <v>382</v>
      </c>
      <c r="H121" s="3" t="s">
        <v>18</v>
      </c>
      <c r="I121" s="3">
        <v>930.28</v>
      </c>
      <c r="J121" s="3">
        <v>5</v>
      </c>
      <c r="K121" s="3">
        <v>190.31</v>
      </c>
      <c r="L121" s="3">
        <v>0.17</v>
      </c>
    </row>
    <row r="122" spans="1:12" ht="15.75" customHeight="1">
      <c r="A122" s="3" t="s">
        <v>383</v>
      </c>
      <c r="B122" s="25">
        <v>45715</v>
      </c>
      <c r="C122" s="3" t="s">
        <v>28</v>
      </c>
      <c r="D122" s="3" t="s">
        <v>32</v>
      </c>
      <c r="E122" s="3" t="s">
        <v>15</v>
      </c>
      <c r="F122" s="3" t="s">
        <v>384</v>
      </c>
      <c r="G122" s="3" t="s">
        <v>385</v>
      </c>
      <c r="H122" s="3" t="s">
        <v>35</v>
      </c>
      <c r="I122" s="3">
        <v>1743.77</v>
      </c>
      <c r="J122" s="3">
        <v>4</v>
      </c>
      <c r="K122" s="3">
        <v>381.81</v>
      </c>
      <c r="L122" s="3">
        <v>0.21</v>
      </c>
    </row>
    <row r="123" spans="1:12" ht="15.75" customHeight="1">
      <c r="A123" s="3" t="s">
        <v>386</v>
      </c>
      <c r="B123" s="25">
        <v>45968</v>
      </c>
      <c r="C123" s="3" t="s">
        <v>20</v>
      </c>
      <c r="D123" s="3" t="s">
        <v>32</v>
      </c>
      <c r="E123" s="3" t="s">
        <v>15</v>
      </c>
      <c r="F123" s="3" t="s">
        <v>387</v>
      </c>
      <c r="G123" s="3" t="s">
        <v>388</v>
      </c>
      <c r="H123" s="3" t="s">
        <v>18</v>
      </c>
      <c r="I123" s="3">
        <v>281.23</v>
      </c>
      <c r="J123" s="3">
        <v>3</v>
      </c>
      <c r="K123" s="3">
        <v>68.38</v>
      </c>
      <c r="L123" s="3">
        <v>0.06</v>
      </c>
    </row>
    <row r="124" spans="1:12" ht="15.75" customHeight="1">
      <c r="A124" s="3" t="s">
        <v>389</v>
      </c>
      <c r="B124" s="25">
        <v>45809</v>
      </c>
      <c r="C124" s="3" t="s">
        <v>13</v>
      </c>
      <c r="D124" s="3" t="s">
        <v>14</v>
      </c>
      <c r="E124" s="3" t="s">
        <v>15</v>
      </c>
      <c r="F124" s="3" t="s">
        <v>390</v>
      </c>
      <c r="G124" s="3" t="s">
        <v>391</v>
      </c>
      <c r="H124" s="3" t="s">
        <v>18</v>
      </c>
      <c r="I124" s="3">
        <v>1903.38</v>
      </c>
      <c r="J124" s="3">
        <v>1</v>
      </c>
      <c r="K124" s="3">
        <v>139.03</v>
      </c>
      <c r="L124" s="3">
        <v>0.14000000000000001</v>
      </c>
    </row>
    <row r="125" spans="1:12" ht="15.75" customHeight="1">
      <c r="A125" s="3" t="s">
        <v>392</v>
      </c>
      <c r="B125" s="25">
        <v>45912</v>
      </c>
      <c r="C125" s="3" t="s">
        <v>28</v>
      </c>
      <c r="D125" s="3" t="s">
        <v>32</v>
      </c>
      <c r="E125" s="3" t="s">
        <v>15</v>
      </c>
      <c r="F125" s="3" t="s">
        <v>393</v>
      </c>
      <c r="G125" s="3" t="s">
        <v>394</v>
      </c>
      <c r="H125" s="3" t="s">
        <v>35</v>
      </c>
      <c r="I125" s="3">
        <v>1636.6</v>
      </c>
      <c r="J125" s="3">
        <v>6</v>
      </c>
      <c r="K125" s="3">
        <v>292.58999999999997</v>
      </c>
      <c r="L125" s="3">
        <v>0.01</v>
      </c>
    </row>
    <row r="126" spans="1:12" ht="15.75" customHeight="1">
      <c r="A126" s="3" t="s">
        <v>395</v>
      </c>
      <c r="B126" s="25">
        <v>45821</v>
      </c>
      <c r="C126" s="3" t="s">
        <v>13</v>
      </c>
      <c r="D126" s="3" t="s">
        <v>14</v>
      </c>
      <c r="E126" s="3" t="s">
        <v>15</v>
      </c>
      <c r="F126" s="3" t="s">
        <v>396</v>
      </c>
      <c r="G126" s="3" t="s">
        <v>397</v>
      </c>
      <c r="H126" s="3" t="s">
        <v>39</v>
      </c>
      <c r="I126" s="3">
        <v>1076.49</v>
      </c>
      <c r="J126" s="3">
        <v>3</v>
      </c>
      <c r="K126" s="3">
        <v>93.19</v>
      </c>
      <c r="L126" s="3">
        <v>0.09</v>
      </c>
    </row>
    <row r="127" spans="1:12" ht="15.75" customHeight="1">
      <c r="A127" s="3" t="s">
        <v>398</v>
      </c>
      <c r="B127" s="25">
        <v>45979</v>
      </c>
      <c r="C127" s="3" t="s">
        <v>41</v>
      </c>
      <c r="D127" s="3" t="s">
        <v>14</v>
      </c>
      <c r="E127" s="3" t="s">
        <v>15</v>
      </c>
      <c r="F127" s="3" t="s">
        <v>399</v>
      </c>
      <c r="G127" s="3" t="s">
        <v>400</v>
      </c>
      <c r="H127" s="3" t="s">
        <v>39</v>
      </c>
      <c r="I127" s="3">
        <v>1975.53</v>
      </c>
      <c r="J127" s="3">
        <v>8</v>
      </c>
      <c r="K127" s="3">
        <v>376.33</v>
      </c>
      <c r="L127" s="3">
        <v>0.21</v>
      </c>
    </row>
    <row r="128" spans="1:12" ht="15.75" customHeight="1">
      <c r="A128" s="3" t="s">
        <v>401</v>
      </c>
      <c r="B128" s="25">
        <v>46017</v>
      </c>
      <c r="C128" s="3" t="s">
        <v>20</v>
      </c>
      <c r="D128" s="3" t="s">
        <v>21</v>
      </c>
      <c r="E128" s="3" t="s">
        <v>15</v>
      </c>
      <c r="F128" s="3" t="s">
        <v>402</v>
      </c>
      <c r="G128" s="3" t="s">
        <v>403</v>
      </c>
      <c r="H128" s="3" t="s">
        <v>18</v>
      </c>
      <c r="I128" s="3">
        <v>526.32000000000005</v>
      </c>
      <c r="J128" s="3">
        <v>2</v>
      </c>
      <c r="K128" s="3">
        <v>108.83</v>
      </c>
      <c r="L128" s="3">
        <v>0.25</v>
      </c>
    </row>
    <row r="129" spans="1:12" ht="15.75" customHeight="1">
      <c r="A129" s="3" t="s">
        <v>404</v>
      </c>
      <c r="B129" s="25">
        <v>45964</v>
      </c>
      <c r="C129" s="3" t="s">
        <v>41</v>
      </c>
      <c r="D129" s="3" t="s">
        <v>14</v>
      </c>
      <c r="E129" s="3" t="s">
        <v>15</v>
      </c>
      <c r="F129" s="3" t="s">
        <v>405</v>
      </c>
      <c r="G129" s="3" t="s">
        <v>406</v>
      </c>
      <c r="H129" s="3" t="s">
        <v>18</v>
      </c>
      <c r="I129" s="3">
        <v>1410.53</v>
      </c>
      <c r="J129" s="3">
        <v>2</v>
      </c>
      <c r="K129" s="3">
        <v>312.77</v>
      </c>
      <c r="L129" s="3">
        <v>0.27</v>
      </c>
    </row>
    <row r="130" spans="1:12" ht="15.75" customHeight="1">
      <c r="A130" s="3" t="s">
        <v>407</v>
      </c>
      <c r="B130" s="25">
        <v>45756</v>
      </c>
      <c r="C130" s="3" t="s">
        <v>20</v>
      </c>
      <c r="D130" s="3" t="s">
        <v>21</v>
      </c>
      <c r="E130" s="3" t="s">
        <v>15</v>
      </c>
      <c r="F130" s="3" t="s">
        <v>408</v>
      </c>
      <c r="G130" s="3" t="s">
        <v>409</v>
      </c>
      <c r="H130" s="3" t="s">
        <v>18</v>
      </c>
      <c r="I130" s="3">
        <v>984.45</v>
      </c>
      <c r="J130" s="3">
        <v>9</v>
      </c>
      <c r="K130" s="3">
        <v>115.21</v>
      </c>
      <c r="L130" s="3">
        <v>0.02</v>
      </c>
    </row>
    <row r="131" spans="1:12" ht="15.75" customHeight="1">
      <c r="A131" s="3" t="s">
        <v>410</v>
      </c>
      <c r="B131" s="25">
        <v>45702</v>
      </c>
      <c r="C131" s="3" t="s">
        <v>20</v>
      </c>
      <c r="D131" s="3" t="s">
        <v>32</v>
      </c>
      <c r="E131" s="3" t="s">
        <v>15</v>
      </c>
      <c r="F131" s="3" t="s">
        <v>411</v>
      </c>
      <c r="G131" s="3" t="s">
        <v>412</v>
      </c>
      <c r="H131" s="3" t="s">
        <v>18</v>
      </c>
      <c r="I131" s="3">
        <v>1626.13</v>
      </c>
      <c r="J131" s="3">
        <v>8</v>
      </c>
      <c r="K131" s="3">
        <v>288.89</v>
      </c>
      <c r="L131" s="3">
        <v>0.14000000000000001</v>
      </c>
    </row>
    <row r="132" spans="1:12" ht="15.75" customHeight="1">
      <c r="A132" s="3" t="s">
        <v>413</v>
      </c>
      <c r="B132" s="25">
        <v>45952</v>
      </c>
      <c r="C132" s="3" t="s">
        <v>41</v>
      </c>
      <c r="D132" s="3" t="s">
        <v>21</v>
      </c>
      <c r="E132" s="3" t="s">
        <v>15</v>
      </c>
      <c r="F132" s="3" t="s">
        <v>414</v>
      </c>
      <c r="G132" s="3" t="s">
        <v>415</v>
      </c>
      <c r="H132" s="3" t="s">
        <v>39</v>
      </c>
      <c r="I132" s="3">
        <v>1396.79</v>
      </c>
      <c r="J132" s="3">
        <v>2</v>
      </c>
      <c r="K132" s="3">
        <v>486.37</v>
      </c>
      <c r="L132" s="3">
        <v>0.01</v>
      </c>
    </row>
    <row r="133" spans="1:12" ht="15.75" customHeight="1">
      <c r="A133" s="3" t="s">
        <v>416</v>
      </c>
      <c r="B133" s="25">
        <v>45718</v>
      </c>
      <c r="C133" s="3" t="s">
        <v>13</v>
      </c>
      <c r="D133" s="3" t="s">
        <v>14</v>
      </c>
      <c r="E133" s="3" t="s">
        <v>15</v>
      </c>
      <c r="F133" s="3" t="s">
        <v>417</v>
      </c>
      <c r="G133" s="3" t="s">
        <v>418</v>
      </c>
      <c r="H133" s="3" t="s">
        <v>35</v>
      </c>
      <c r="I133" s="3">
        <v>1640.42</v>
      </c>
      <c r="J133" s="3">
        <v>8</v>
      </c>
      <c r="K133" s="3">
        <v>132.34</v>
      </c>
      <c r="L133" s="3">
        <v>0.12</v>
      </c>
    </row>
    <row r="134" spans="1:12" ht="15.75" customHeight="1">
      <c r="A134" s="3" t="s">
        <v>419</v>
      </c>
      <c r="B134" s="25">
        <v>45703</v>
      </c>
      <c r="C134" s="3" t="s">
        <v>20</v>
      </c>
      <c r="D134" s="3" t="s">
        <v>14</v>
      </c>
      <c r="E134" s="3" t="s">
        <v>15</v>
      </c>
      <c r="F134" s="3" t="s">
        <v>420</v>
      </c>
      <c r="G134" s="3" t="s">
        <v>421</v>
      </c>
      <c r="H134" s="3" t="s">
        <v>35</v>
      </c>
      <c r="I134" s="3">
        <v>1565.77</v>
      </c>
      <c r="J134" s="3">
        <v>5</v>
      </c>
      <c r="K134" s="3">
        <v>236.78</v>
      </c>
      <c r="L134" s="3">
        <v>0.3</v>
      </c>
    </row>
    <row r="135" spans="1:12" ht="15.75" customHeight="1">
      <c r="A135" s="3" t="s">
        <v>422</v>
      </c>
      <c r="B135" s="25">
        <v>45796</v>
      </c>
      <c r="C135" s="3" t="s">
        <v>13</v>
      </c>
      <c r="D135" s="3" t="s">
        <v>21</v>
      </c>
      <c r="E135" s="3" t="s">
        <v>15</v>
      </c>
      <c r="F135" s="3" t="s">
        <v>423</v>
      </c>
      <c r="G135" s="3" t="s">
        <v>424</v>
      </c>
      <c r="H135" s="3" t="s">
        <v>39</v>
      </c>
      <c r="I135" s="3">
        <v>1214.97</v>
      </c>
      <c r="J135" s="3">
        <v>7</v>
      </c>
      <c r="K135" s="3">
        <v>89.26</v>
      </c>
      <c r="L135" s="3">
        <v>0.17</v>
      </c>
    </row>
    <row r="136" spans="1:12" ht="15.75" customHeight="1">
      <c r="A136" s="3" t="s">
        <v>425</v>
      </c>
      <c r="B136" s="25">
        <v>45927</v>
      </c>
      <c r="C136" s="3" t="s">
        <v>28</v>
      </c>
      <c r="D136" s="3" t="s">
        <v>32</v>
      </c>
      <c r="E136" s="3" t="s">
        <v>15</v>
      </c>
      <c r="F136" s="3" t="s">
        <v>426</v>
      </c>
      <c r="G136" s="3" t="s">
        <v>427</v>
      </c>
      <c r="H136" s="3" t="s">
        <v>18</v>
      </c>
      <c r="I136" s="3">
        <v>358.7</v>
      </c>
      <c r="J136" s="3">
        <v>6</v>
      </c>
      <c r="K136" s="3">
        <v>95.35</v>
      </c>
      <c r="L136" s="3">
        <v>0.22</v>
      </c>
    </row>
    <row r="137" spans="1:12" ht="15.75" customHeight="1">
      <c r="A137" s="3" t="s">
        <v>428</v>
      </c>
      <c r="B137" s="25">
        <v>45724</v>
      </c>
      <c r="C137" s="3" t="s">
        <v>28</v>
      </c>
      <c r="D137" s="3" t="s">
        <v>14</v>
      </c>
      <c r="E137" s="3" t="s">
        <v>15</v>
      </c>
      <c r="F137" s="3" t="s">
        <v>429</v>
      </c>
      <c r="G137" s="3" t="s">
        <v>430</v>
      </c>
      <c r="H137" s="3" t="s">
        <v>18</v>
      </c>
      <c r="I137" s="3">
        <v>1061.21</v>
      </c>
      <c r="J137" s="3">
        <v>9</v>
      </c>
      <c r="K137" s="3">
        <v>144.66999999999999</v>
      </c>
      <c r="L137" s="3">
        <v>0.27</v>
      </c>
    </row>
    <row r="138" spans="1:12" ht="15.75" customHeight="1">
      <c r="A138" s="3" t="s">
        <v>431</v>
      </c>
      <c r="B138" s="25">
        <v>45940</v>
      </c>
      <c r="C138" s="3" t="s">
        <v>41</v>
      </c>
      <c r="D138" s="3" t="s">
        <v>14</v>
      </c>
      <c r="E138" s="3" t="s">
        <v>15</v>
      </c>
      <c r="F138" s="3" t="s">
        <v>432</v>
      </c>
      <c r="G138" s="3" t="s">
        <v>433</v>
      </c>
      <c r="H138" s="3" t="s">
        <v>18</v>
      </c>
      <c r="I138" s="3">
        <v>1802.81</v>
      </c>
      <c r="J138" s="3">
        <v>8</v>
      </c>
      <c r="K138" s="3">
        <v>147.41999999999999</v>
      </c>
      <c r="L138" s="3">
        <v>0.14000000000000001</v>
      </c>
    </row>
    <row r="139" spans="1:12" ht="15.75" customHeight="1">
      <c r="A139" s="3" t="s">
        <v>434</v>
      </c>
      <c r="B139" s="25">
        <v>45697</v>
      </c>
      <c r="C139" s="3" t="s">
        <v>20</v>
      </c>
      <c r="D139" s="3" t="s">
        <v>32</v>
      </c>
      <c r="E139" s="3" t="s">
        <v>15</v>
      </c>
      <c r="F139" s="3" t="s">
        <v>435</v>
      </c>
      <c r="G139" s="3" t="s">
        <v>436</v>
      </c>
      <c r="H139" s="3" t="s">
        <v>35</v>
      </c>
      <c r="I139" s="3">
        <v>698.18</v>
      </c>
      <c r="J139" s="3">
        <v>4</v>
      </c>
      <c r="K139" s="3">
        <v>37.46</v>
      </c>
      <c r="L139" s="3">
        <v>0.01</v>
      </c>
    </row>
    <row r="140" spans="1:12" ht="15.75" customHeight="1">
      <c r="A140" s="3" t="s">
        <v>437</v>
      </c>
      <c r="B140" s="25">
        <v>46000</v>
      </c>
      <c r="C140" s="3" t="s">
        <v>20</v>
      </c>
      <c r="D140" s="3" t="s">
        <v>21</v>
      </c>
      <c r="E140" s="3" t="s">
        <v>15</v>
      </c>
      <c r="F140" s="3" t="s">
        <v>438</v>
      </c>
      <c r="G140" s="3" t="s">
        <v>439</v>
      </c>
      <c r="H140" s="3" t="s">
        <v>18</v>
      </c>
      <c r="I140" s="3">
        <v>1296.6500000000001</v>
      </c>
      <c r="J140" s="3">
        <v>5</v>
      </c>
      <c r="K140" s="3">
        <v>366.11</v>
      </c>
      <c r="L140" s="3">
        <v>0.18</v>
      </c>
    </row>
    <row r="141" spans="1:12" ht="15.75" customHeight="1">
      <c r="A141" s="3" t="s">
        <v>440</v>
      </c>
      <c r="B141" s="25">
        <v>45863</v>
      </c>
      <c r="C141" s="3" t="s">
        <v>28</v>
      </c>
      <c r="D141" s="3" t="s">
        <v>14</v>
      </c>
      <c r="E141" s="3" t="s">
        <v>15</v>
      </c>
      <c r="F141" s="3" t="s">
        <v>441</v>
      </c>
      <c r="G141" s="3" t="s">
        <v>442</v>
      </c>
      <c r="H141" s="3" t="s">
        <v>18</v>
      </c>
      <c r="I141" s="3">
        <v>217.83</v>
      </c>
      <c r="J141" s="3">
        <v>2</v>
      </c>
      <c r="K141" s="3">
        <v>31.22</v>
      </c>
      <c r="L141" s="3">
        <v>0.16</v>
      </c>
    </row>
    <row r="142" spans="1:12" ht="15.75" customHeight="1">
      <c r="A142" s="3" t="s">
        <v>443</v>
      </c>
      <c r="B142" s="25">
        <v>45668</v>
      </c>
      <c r="C142" s="3" t="s">
        <v>28</v>
      </c>
      <c r="D142" s="3" t="s">
        <v>21</v>
      </c>
      <c r="E142" s="3" t="s">
        <v>15</v>
      </c>
      <c r="F142" s="3" t="s">
        <v>444</v>
      </c>
      <c r="G142" s="3" t="s">
        <v>445</v>
      </c>
      <c r="H142" s="3" t="s">
        <v>18</v>
      </c>
      <c r="I142" s="3">
        <v>1549.29</v>
      </c>
      <c r="J142" s="3">
        <v>4</v>
      </c>
      <c r="K142" s="3">
        <v>380.37</v>
      </c>
      <c r="L142" s="3">
        <v>0.08</v>
      </c>
    </row>
    <row r="143" spans="1:12" ht="15.75" customHeight="1">
      <c r="A143" s="3" t="s">
        <v>446</v>
      </c>
      <c r="B143" s="25">
        <v>45710</v>
      </c>
      <c r="C143" s="3" t="s">
        <v>28</v>
      </c>
      <c r="D143" s="3" t="s">
        <v>21</v>
      </c>
      <c r="E143" s="3" t="s">
        <v>15</v>
      </c>
      <c r="F143" s="3" t="s">
        <v>447</v>
      </c>
      <c r="G143" s="3" t="s">
        <v>448</v>
      </c>
      <c r="H143" s="3" t="s">
        <v>35</v>
      </c>
      <c r="I143" s="3">
        <v>1545.09</v>
      </c>
      <c r="J143" s="3">
        <v>5</v>
      </c>
      <c r="K143" s="3">
        <v>162.62</v>
      </c>
      <c r="L143" s="3">
        <v>0.28999999999999998</v>
      </c>
    </row>
    <row r="144" spans="1:12" ht="15.75" customHeight="1">
      <c r="A144" s="3" t="s">
        <v>449</v>
      </c>
      <c r="B144" s="25">
        <v>45671</v>
      </c>
      <c r="C144" s="3" t="s">
        <v>13</v>
      </c>
      <c r="D144" s="3" t="s">
        <v>14</v>
      </c>
      <c r="E144" s="3" t="s">
        <v>15</v>
      </c>
      <c r="F144" s="3" t="s">
        <v>450</v>
      </c>
      <c r="G144" s="3" t="s">
        <v>451</v>
      </c>
      <c r="H144" s="3" t="s">
        <v>39</v>
      </c>
      <c r="I144" s="3">
        <v>525.23</v>
      </c>
      <c r="J144" s="3">
        <v>8</v>
      </c>
      <c r="K144" s="3">
        <v>114.32</v>
      </c>
      <c r="L144" s="3">
        <v>0.2</v>
      </c>
    </row>
    <row r="145" spans="1:12" ht="15.75" customHeight="1">
      <c r="A145" s="3" t="s">
        <v>452</v>
      </c>
      <c r="B145" s="25">
        <v>45784</v>
      </c>
      <c r="C145" s="3" t="s">
        <v>13</v>
      </c>
      <c r="D145" s="3" t="s">
        <v>21</v>
      </c>
      <c r="E145" s="3" t="s">
        <v>15</v>
      </c>
      <c r="F145" s="3" t="s">
        <v>453</v>
      </c>
      <c r="G145" s="3" t="s">
        <v>454</v>
      </c>
      <c r="H145" s="3" t="s">
        <v>18</v>
      </c>
      <c r="I145" s="3">
        <v>1506.95</v>
      </c>
      <c r="J145" s="3">
        <v>4</v>
      </c>
      <c r="K145" s="3">
        <v>382.62</v>
      </c>
      <c r="L145" s="3">
        <v>0.06</v>
      </c>
    </row>
    <row r="146" spans="1:12" ht="15.75" customHeight="1">
      <c r="A146" s="3" t="s">
        <v>455</v>
      </c>
      <c r="B146" s="25">
        <v>45774</v>
      </c>
      <c r="C146" s="3" t="s">
        <v>13</v>
      </c>
      <c r="D146" s="3" t="s">
        <v>32</v>
      </c>
      <c r="E146" s="3" t="s">
        <v>15</v>
      </c>
      <c r="F146" s="3" t="s">
        <v>456</v>
      </c>
      <c r="G146" s="3" t="s">
        <v>457</v>
      </c>
      <c r="H146" s="3" t="s">
        <v>35</v>
      </c>
      <c r="I146" s="3">
        <v>484.68</v>
      </c>
      <c r="J146" s="3">
        <v>8</v>
      </c>
      <c r="K146" s="3">
        <v>113.17</v>
      </c>
      <c r="L146" s="3">
        <v>0.22</v>
      </c>
    </row>
    <row r="147" spans="1:12" ht="15.75" customHeight="1">
      <c r="A147" s="3" t="s">
        <v>458</v>
      </c>
      <c r="B147" s="25">
        <v>45737</v>
      </c>
      <c r="C147" s="3" t="s">
        <v>20</v>
      </c>
      <c r="D147" s="3" t="s">
        <v>32</v>
      </c>
      <c r="E147" s="3" t="s">
        <v>15</v>
      </c>
      <c r="F147" s="3" t="s">
        <v>459</v>
      </c>
      <c r="G147" s="3" t="s">
        <v>460</v>
      </c>
      <c r="H147" s="3" t="s">
        <v>39</v>
      </c>
      <c r="I147" s="3">
        <v>1370</v>
      </c>
      <c r="J147" s="3">
        <v>7</v>
      </c>
      <c r="K147" s="3">
        <v>498.57</v>
      </c>
      <c r="L147" s="3">
        <v>0.05</v>
      </c>
    </row>
    <row r="148" spans="1:12" ht="15.75" customHeight="1">
      <c r="A148" s="3" t="s">
        <v>461</v>
      </c>
      <c r="B148" s="25">
        <v>45889</v>
      </c>
      <c r="C148" s="3" t="s">
        <v>28</v>
      </c>
      <c r="D148" s="3" t="s">
        <v>21</v>
      </c>
      <c r="E148" s="3" t="s">
        <v>15</v>
      </c>
      <c r="F148" s="3" t="s">
        <v>462</v>
      </c>
      <c r="G148" s="3" t="s">
        <v>463</v>
      </c>
      <c r="H148" s="3" t="s">
        <v>39</v>
      </c>
      <c r="I148" s="3">
        <v>1420.96</v>
      </c>
      <c r="J148" s="3">
        <v>4</v>
      </c>
      <c r="K148" s="3">
        <v>181.37</v>
      </c>
      <c r="L148" s="3">
        <v>0.02</v>
      </c>
    </row>
    <row r="149" spans="1:12" ht="15.75" customHeight="1">
      <c r="A149" s="3" t="s">
        <v>464</v>
      </c>
      <c r="B149" s="25">
        <v>45890</v>
      </c>
      <c r="C149" s="3" t="s">
        <v>28</v>
      </c>
      <c r="D149" s="3" t="s">
        <v>14</v>
      </c>
      <c r="E149" s="3" t="s">
        <v>15</v>
      </c>
      <c r="F149" s="3" t="s">
        <v>465</v>
      </c>
      <c r="G149" s="3" t="s">
        <v>466</v>
      </c>
      <c r="H149" s="3" t="s">
        <v>18</v>
      </c>
      <c r="I149" s="3">
        <v>409.38</v>
      </c>
      <c r="J149" s="3">
        <v>3</v>
      </c>
      <c r="K149" s="3">
        <v>133.85</v>
      </c>
      <c r="L149" s="3">
        <v>0.2</v>
      </c>
    </row>
    <row r="150" spans="1:12" ht="15.75" customHeight="1">
      <c r="A150" s="3" t="s">
        <v>467</v>
      </c>
      <c r="B150" s="25">
        <v>45774</v>
      </c>
      <c r="C150" s="3" t="s">
        <v>28</v>
      </c>
      <c r="D150" s="3" t="s">
        <v>14</v>
      </c>
      <c r="E150" s="3" t="s">
        <v>15</v>
      </c>
      <c r="F150" s="3" t="s">
        <v>468</v>
      </c>
      <c r="G150" s="3" t="s">
        <v>469</v>
      </c>
      <c r="H150" s="3" t="s">
        <v>35</v>
      </c>
      <c r="I150" s="3">
        <v>236.34</v>
      </c>
      <c r="J150" s="3">
        <v>9</v>
      </c>
      <c r="K150" s="3">
        <v>82.17</v>
      </c>
      <c r="L150" s="3">
        <v>0.23</v>
      </c>
    </row>
    <row r="151" spans="1:12" ht="15.75" customHeight="1">
      <c r="A151" s="3" t="s">
        <v>470</v>
      </c>
      <c r="B151" s="25">
        <v>45717</v>
      </c>
      <c r="C151" s="3" t="s">
        <v>28</v>
      </c>
      <c r="D151" s="3" t="s">
        <v>14</v>
      </c>
      <c r="E151" s="3" t="s">
        <v>15</v>
      </c>
      <c r="F151" s="3" t="s">
        <v>471</v>
      </c>
      <c r="G151" s="3" t="s">
        <v>472</v>
      </c>
      <c r="H151" s="3" t="s">
        <v>35</v>
      </c>
      <c r="I151" s="3">
        <v>720.75</v>
      </c>
      <c r="J151" s="3">
        <v>7</v>
      </c>
      <c r="K151" s="3">
        <v>67.44</v>
      </c>
      <c r="L151" s="3">
        <v>0.27</v>
      </c>
    </row>
    <row r="152" spans="1:12" ht="15.75" customHeight="1">
      <c r="A152" s="3" t="s">
        <v>473</v>
      </c>
      <c r="B152" s="25">
        <v>45965</v>
      </c>
      <c r="C152" s="3" t="s">
        <v>20</v>
      </c>
      <c r="D152" s="3" t="s">
        <v>21</v>
      </c>
      <c r="E152" s="3" t="s">
        <v>15</v>
      </c>
      <c r="F152" s="3" t="s">
        <v>474</v>
      </c>
      <c r="G152" s="3" t="s">
        <v>475</v>
      </c>
      <c r="H152" s="3" t="s">
        <v>39</v>
      </c>
      <c r="I152" s="3">
        <v>1612.1</v>
      </c>
      <c r="J152" s="3">
        <v>6</v>
      </c>
      <c r="K152" s="3">
        <v>520.71</v>
      </c>
      <c r="L152" s="3">
        <v>0.27</v>
      </c>
    </row>
    <row r="153" spans="1:12" ht="15.75" customHeight="1">
      <c r="A153" s="3" t="s">
        <v>476</v>
      </c>
      <c r="B153" s="25">
        <v>45675</v>
      </c>
      <c r="C153" s="3" t="s">
        <v>28</v>
      </c>
      <c r="D153" s="3" t="s">
        <v>14</v>
      </c>
      <c r="E153" s="3" t="s">
        <v>15</v>
      </c>
      <c r="F153" s="3" t="s">
        <v>477</v>
      </c>
      <c r="G153" s="3" t="s">
        <v>478</v>
      </c>
      <c r="H153" s="3" t="s">
        <v>39</v>
      </c>
      <c r="I153" s="3">
        <v>1973.56</v>
      </c>
      <c r="J153" s="3">
        <v>9</v>
      </c>
      <c r="K153" s="3">
        <v>622.36</v>
      </c>
      <c r="L153" s="3">
        <v>7.0000000000000007E-2</v>
      </c>
    </row>
    <row r="154" spans="1:12" ht="15.75" customHeight="1">
      <c r="A154" s="3" t="s">
        <v>479</v>
      </c>
      <c r="B154" s="25">
        <v>45834</v>
      </c>
      <c r="C154" s="3" t="s">
        <v>20</v>
      </c>
      <c r="D154" s="3" t="s">
        <v>32</v>
      </c>
      <c r="E154" s="3" t="s">
        <v>15</v>
      </c>
      <c r="F154" s="3" t="s">
        <v>480</v>
      </c>
      <c r="G154" s="3" t="s">
        <v>481</v>
      </c>
      <c r="H154" s="3" t="s">
        <v>18</v>
      </c>
      <c r="I154" s="3">
        <v>1748.34</v>
      </c>
      <c r="J154" s="3">
        <v>8</v>
      </c>
      <c r="K154" s="3">
        <v>612.09</v>
      </c>
      <c r="L154" s="3">
        <v>0.15</v>
      </c>
    </row>
    <row r="155" spans="1:12" ht="15.75" customHeight="1">
      <c r="A155" s="3" t="s">
        <v>482</v>
      </c>
      <c r="B155" s="25">
        <v>45749</v>
      </c>
      <c r="C155" s="3" t="s">
        <v>28</v>
      </c>
      <c r="D155" s="3" t="s">
        <v>21</v>
      </c>
      <c r="E155" s="3" t="s">
        <v>15</v>
      </c>
      <c r="F155" s="3" t="s">
        <v>483</v>
      </c>
      <c r="G155" s="3" t="s">
        <v>484</v>
      </c>
      <c r="H155" s="3" t="s">
        <v>35</v>
      </c>
      <c r="I155" s="3">
        <v>196.91</v>
      </c>
      <c r="J155" s="3">
        <v>6</v>
      </c>
      <c r="K155" s="3">
        <v>71.84</v>
      </c>
      <c r="L155" s="3">
        <v>0.01</v>
      </c>
    </row>
    <row r="156" spans="1:12" ht="15.75" customHeight="1">
      <c r="A156" s="3" t="s">
        <v>485</v>
      </c>
      <c r="B156" s="25">
        <v>45713</v>
      </c>
      <c r="C156" s="3" t="s">
        <v>41</v>
      </c>
      <c r="D156" s="3" t="s">
        <v>32</v>
      </c>
      <c r="E156" s="3" t="s">
        <v>15</v>
      </c>
      <c r="F156" s="3" t="s">
        <v>486</v>
      </c>
      <c r="G156" s="3" t="s">
        <v>487</v>
      </c>
      <c r="H156" s="3" t="s">
        <v>18</v>
      </c>
      <c r="I156" s="3">
        <v>477.01</v>
      </c>
      <c r="J156" s="3">
        <v>10</v>
      </c>
      <c r="K156" s="3">
        <v>46.89</v>
      </c>
      <c r="L156" s="3">
        <v>0.11</v>
      </c>
    </row>
    <row r="157" spans="1:12" ht="15.75" customHeight="1">
      <c r="A157" s="3" t="s">
        <v>488</v>
      </c>
      <c r="B157" s="25">
        <v>45862</v>
      </c>
      <c r="C157" s="3" t="s">
        <v>13</v>
      </c>
      <c r="D157" s="3" t="s">
        <v>21</v>
      </c>
      <c r="E157" s="3" t="s">
        <v>15</v>
      </c>
      <c r="F157" s="3" t="s">
        <v>489</v>
      </c>
      <c r="G157" s="3" t="s">
        <v>490</v>
      </c>
      <c r="H157" s="3" t="s">
        <v>18</v>
      </c>
      <c r="I157" s="3">
        <v>1607.01</v>
      </c>
      <c r="J157" s="3">
        <v>8</v>
      </c>
      <c r="K157" s="3">
        <v>427.48</v>
      </c>
      <c r="L157" s="3">
        <v>0.13</v>
      </c>
    </row>
    <row r="158" spans="1:12" ht="15.75" customHeight="1">
      <c r="A158" s="3" t="s">
        <v>491</v>
      </c>
      <c r="B158" s="25">
        <v>45669</v>
      </c>
      <c r="C158" s="3" t="s">
        <v>41</v>
      </c>
      <c r="D158" s="3" t="s">
        <v>21</v>
      </c>
      <c r="E158" s="3" t="s">
        <v>15</v>
      </c>
      <c r="F158" s="3" t="s">
        <v>492</v>
      </c>
      <c r="G158" s="3" t="s">
        <v>493</v>
      </c>
      <c r="H158" s="3" t="s">
        <v>18</v>
      </c>
      <c r="I158" s="3">
        <v>1239.6500000000001</v>
      </c>
      <c r="J158" s="3">
        <v>4</v>
      </c>
      <c r="K158" s="3">
        <v>133.94</v>
      </c>
      <c r="L158" s="3">
        <v>0.09</v>
      </c>
    </row>
    <row r="159" spans="1:12" ht="15.75" customHeight="1">
      <c r="A159" s="3" t="s">
        <v>494</v>
      </c>
      <c r="B159" s="25">
        <v>45894</v>
      </c>
      <c r="C159" s="3" t="s">
        <v>41</v>
      </c>
      <c r="D159" s="3" t="s">
        <v>14</v>
      </c>
      <c r="E159" s="3" t="s">
        <v>15</v>
      </c>
      <c r="F159" s="3" t="s">
        <v>495</v>
      </c>
      <c r="G159" s="3" t="s">
        <v>496</v>
      </c>
      <c r="H159" s="3" t="s">
        <v>18</v>
      </c>
      <c r="I159" s="3">
        <v>772.76</v>
      </c>
      <c r="J159" s="3">
        <v>8</v>
      </c>
      <c r="K159" s="3">
        <v>281.89</v>
      </c>
      <c r="L159" s="3">
        <v>0.26</v>
      </c>
    </row>
    <row r="160" spans="1:12" ht="15.75" customHeight="1">
      <c r="A160" s="3" t="s">
        <v>497</v>
      </c>
      <c r="B160" s="25">
        <v>45744</v>
      </c>
      <c r="C160" s="3" t="s">
        <v>20</v>
      </c>
      <c r="D160" s="3" t="s">
        <v>21</v>
      </c>
      <c r="E160" s="3" t="s">
        <v>15</v>
      </c>
      <c r="F160" s="3" t="s">
        <v>498</v>
      </c>
      <c r="G160" s="3" t="s">
        <v>499</v>
      </c>
      <c r="H160" s="3" t="s">
        <v>39</v>
      </c>
      <c r="I160" s="3">
        <v>706.83</v>
      </c>
      <c r="J160" s="3">
        <v>5</v>
      </c>
      <c r="K160" s="3">
        <v>65.959999999999994</v>
      </c>
      <c r="L160" s="3">
        <v>0.04</v>
      </c>
    </row>
    <row r="161" spans="1:12" ht="15.75" customHeight="1">
      <c r="A161" s="3" t="s">
        <v>500</v>
      </c>
      <c r="B161" s="25">
        <v>45742</v>
      </c>
      <c r="C161" s="3" t="s">
        <v>13</v>
      </c>
      <c r="D161" s="3" t="s">
        <v>21</v>
      </c>
      <c r="E161" s="3" t="s">
        <v>15</v>
      </c>
      <c r="F161" s="3" t="s">
        <v>501</v>
      </c>
      <c r="G161" s="3" t="s">
        <v>502</v>
      </c>
      <c r="H161" s="3" t="s">
        <v>35</v>
      </c>
      <c r="I161" s="3">
        <v>1361.45</v>
      </c>
      <c r="J161" s="3">
        <v>8</v>
      </c>
      <c r="K161" s="3">
        <v>107.07</v>
      </c>
      <c r="L161" s="3">
        <v>0.1</v>
      </c>
    </row>
    <row r="162" spans="1:12" ht="15.75" customHeight="1">
      <c r="A162" s="3" t="s">
        <v>503</v>
      </c>
      <c r="B162" s="25">
        <v>45749</v>
      </c>
      <c r="C162" s="3" t="s">
        <v>28</v>
      </c>
      <c r="D162" s="3" t="s">
        <v>32</v>
      </c>
      <c r="E162" s="3" t="s">
        <v>15</v>
      </c>
      <c r="F162" s="3" t="s">
        <v>504</v>
      </c>
      <c r="G162" s="3" t="s">
        <v>505</v>
      </c>
      <c r="H162" s="3" t="s">
        <v>18</v>
      </c>
      <c r="I162" s="3">
        <v>1667.01</v>
      </c>
      <c r="J162" s="3">
        <v>1</v>
      </c>
      <c r="K162" s="3">
        <v>481.7</v>
      </c>
      <c r="L162" s="3">
        <v>0.19</v>
      </c>
    </row>
    <row r="163" spans="1:12" ht="15.75" customHeight="1">
      <c r="A163" s="3" t="s">
        <v>506</v>
      </c>
      <c r="B163" s="25">
        <v>45953</v>
      </c>
      <c r="C163" s="3" t="s">
        <v>13</v>
      </c>
      <c r="D163" s="3" t="s">
        <v>32</v>
      </c>
      <c r="E163" s="3" t="s">
        <v>15</v>
      </c>
      <c r="F163" s="3" t="s">
        <v>507</v>
      </c>
      <c r="G163" s="3" t="s">
        <v>508</v>
      </c>
      <c r="H163" s="3" t="s">
        <v>39</v>
      </c>
      <c r="I163" s="3">
        <v>971.54</v>
      </c>
      <c r="J163" s="3">
        <v>2</v>
      </c>
      <c r="K163" s="3">
        <v>299.31</v>
      </c>
      <c r="L163" s="3">
        <v>0.23</v>
      </c>
    </row>
    <row r="164" spans="1:12" ht="15.75" customHeight="1">
      <c r="A164" s="3" t="s">
        <v>509</v>
      </c>
      <c r="B164" s="25">
        <v>45891</v>
      </c>
      <c r="C164" s="3" t="s">
        <v>41</v>
      </c>
      <c r="D164" s="3" t="s">
        <v>32</v>
      </c>
      <c r="E164" s="3" t="s">
        <v>15</v>
      </c>
      <c r="F164" s="3" t="s">
        <v>510</v>
      </c>
      <c r="G164" s="3" t="s">
        <v>511</v>
      </c>
      <c r="H164" s="3" t="s">
        <v>18</v>
      </c>
      <c r="I164" s="3">
        <v>1801.25</v>
      </c>
      <c r="J164" s="3">
        <v>10</v>
      </c>
      <c r="K164" s="3">
        <v>471.48</v>
      </c>
      <c r="L164" s="3">
        <v>0.26</v>
      </c>
    </row>
    <row r="165" spans="1:12" ht="15.75" customHeight="1">
      <c r="A165" s="3" t="s">
        <v>512</v>
      </c>
      <c r="B165" s="25">
        <v>45852</v>
      </c>
      <c r="C165" s="3" t="s">
        <v>20</v>
      </c>
      <c r="D165" s="3" t="s">
        <v>21</v>
      </c>
      <c r="E165" s="3" t="s">
        <v>15</v>
      </c>
      <c r="F165" s="3" t="s">
        <v>513</v>
      </c>
      <c r="G165" s="3" t="s">
        <v>514</v>
      </c>
      <c r="H165" s="3" t="s">
        <v>18</v>
      </c>
      <c r="I165" s="3">
        <v>607.11</v>
      </c>
      <c r="J165" s="3">
        <v>7</v>
      </c>
      <c r="K165" s="3">
        <v>179.03</v>
      </c>
      <c r="L165" s="3">
        <v>0.22</v>
      </c>
    </row>
    <row r="166" spans="1:12" ht="15.75" customHeight="1">
      <c r="A166" s="3" t="s">
        <v>515</v>
      </c>
      <c r="B166" s="25">
        <v>46011</v>
      </c>
      <c r="C166" s="3" t="s">
        <v>41</v>
      </c>
      <c r="D166" s="3" t="s">
        <v>21</v>
      </c>
      <c r="E166" s="3" t="s">
        <v>15</v>
      </c>
      <c r="F166" s="3" t="s">
        <v>516</v>
      </c>
      <c r="G166" s="3" t="s">
        <v>517</v>
      </c>
      <c r="H166" s="3" t="s">
        <v>39</v>
      </c>
      <c r="I166" s="3">
        <v>738.23</v>
      </c>
      <c r="J166" s="3">
        <v>1</v>
      </c>
      <c r="K166" s="3">
        <v>169.55</v>
      </c>
      <c r="L166" s="3">
        <v>0.13</v>
      </c>
    </row>
    <row r="167" spans="1:12" ht="15.75" customHeight="1">
      <c r="A167" s="3" t="s">
        <v>518</v>
      </c>
      <c r="B167" s="25">
        <v>45682</v>
      </c>
      <c r="C167" s="3" t="s">
        <v>13</v>
      </c>
      <c r="D167" s="3" t="s">
        <v>14</v>
      </c>
      <c r="E167" s="3" t="s">
        <v>15</v>
      </c>
      <c r="F167" s="3" t="s">
        <v>519</v>
      </c>
      <c r="G167" s="3" t="s">
        <v>520</v>
      </c>
      <c r="H167" s="3" t="s">
        <v>18</v>
      </c>
      <c r="I167" s="3">
        <v>316.64</v>
      </c>
      <c r="J167" s="3">
        <v>9</v>
      </c>
      <c r="K167" s="3">
        <v>59.48</v>
      </c>
      <c r="L167" s="3">
        <v>0.2</v>
      </c>
    </row>
    <row r="168" spans="1:12" ht="15.75" customHeight="1">
      <c r="A168" s="3" t="s">
        <v>521</v>
      </c>
      <c r="B168" s="25">
        <v>45725</v>
      </c>
      <c r="C168" s="3" t="s">
        <v>13</v>
      </c>
      <c r="D168" s="3" t="s">
        <v>14</v>
      </c>
      <c r="E168" s="3" t="s">
        <v>15</v>
      </c>
      <c r="F168" s="3" t="s">
        <v>522</v>
      </c>
      <c r="G168" s="3" t="s">
        <v>523</v>
      </c>
      <c r="H168" s="3" t="s">
        <v>18</v>
      </c>
      <c r="I168" s="3">
        <v>754.84</v>
      </c>
      <c r="J168" s="3">
        <v>1</v>
      </c>
      <c r="K168" s="3">
        <v>214.17</v>
      </c>
      <c r="L168" s="3">
        <v>0.22</v>
      </c>
    </row>
    <row r="169" spans="1:12" ht="15.75" customHeight="1">
      <c r="A169" s="3" t="s">
        <v>524</v>
      </c>
      <c r="B169" s="25">
        <v>46016</v>
      </c>
      <c r="C169" s="3" t="s">
        <v>28</v>
      </c>
      <c r="D169" s="3" t="s">
        <v>32</v>
      </c>
      <c r="E169" s="3" t="s">
        <v>15</v>
      </c>
      <c r="F169" s="3" t="s">
        <v>525</v>
      </c>
      <c r="G169" s="3" t="s">
        <v>526</v>
      </c>
      <c r="H169" s="3" t="s">
        <v>18</v>
      </c>
      <c r="I169" s="3">
        <v>885.94</v>
      </c>
      <c r="J169" s="3">
        <v>3</v>
      </c>
      <c r="K169" s="3">
        <v>49.07</v>
      </c>
      <c r="L169" s="3">
        <v>0.1</v>
      </c>
    </row>
    <row r="170" spans="1:12" ht="15.75" customHeight="1">
      <c r="A170" s="3" t="s">
        <v>527</v>
      </c>
      <c r="B170" s="25">
        <v>45866</v>
      </c>
      <c r="C170" s="3" t="s">
        <v>28</v>
      </c>
      <c r="D170" s="3" t="s">
        <v>14</v>
      </c>
      <c r="E170" s="3" t="s">
        <v>15</v>
      </c>
      <c r="F170" s="3" t="s">
        <v>528</v>
      </c>
      <c r="G170" s="3" t="s">
        <v>529</v>
      </c>
      <c r="H170" s="3" t="s">
        <v>18</v>
      </c>
      <c r="I170" s="3">
        <v>941.43</v>
      </c>
      <c r="J170" s="3">
        <v>1</v>
      </c>
      <c r="K170" s="3">
        <v>226.12</v>
      </c>
      <c r="L170" s="3">
        <v>0.22</v>
      </c>
    </row>
    <row r="171" spans="1:12" ht="15.75" customHeight="1">
      <c r="A171" s="3" t="s">
        <v>530</v>
      </c>
      <c r="B171" s="25">
        <v>45805</v>
      </c>
      <c r="C171" s="3" t="s">
        <v>20</v>
      </c>
      <c r="D171" s="3" t="s">
        <v>32</v>
      </c>
      <c r="E171" s="3" t="s">
        <v>15</v>
      </c>
      <c r="F171" s="3" t="s">
        <v>531</v>
      </c>
      <c r="G171" s="3" t="s">
        <v>532</v>
      </c>
      <c r="H171" s="3" t="s">
        <v>35</v>
      </c>
      <c r="I171" s="3">
        <v>1704.17</v>
      </c>
      <c r="J171" s="3">
        <v>6</v>
      </c>
      <c r="K171" s="3">
        <v>545.87</v>
      </c>
      <c r="L171" s="3">
        <v>0.1</v>
      </c>
    </row>
    <row r="172" spans="1:12" ht="15.75" customHeight="1">
      <c r="A172" s="3" t="s">
        <v>533</v>
      </c>
      <c r="B172" s="25">
        <v>45904</v>
      </c>
      <c r="C172" s="3" t="s">
        <v>28</v>
      </c>
      <c r="D172" s="3" t="s">
        <v>14</v>
      </c>
      <c r="E172" s="3" t="s">
        <v>15</v>
      </c>
      <c r="F172" s="3" t="s">
        <v>534</v>
      </c>
      <c r="G172" s="3" t="s">
        <v>535</v>
      </c>
      <c r="H172" s="3" t="s">
        <v>35</v>
      </c>
      <c r="I172" s="3">
        <v>383.41</v>
      </c>
      <c r="J172" s="3">
        <v>4</v>
      </c>
      <c r="K172" s="3">
        <v>100.68</v>
      </c>
      <c r="L172" s="3">
        <v>0.09</v>
      </c>
    </row>
    <row r="173" spans="1:12" ht="15.75" customHeight="1">
      <c r="A173" s="3" t="s">
        <v>536</v>
      </c>
      <c r="B173" s="25">
        <v>45847</v>
      </c>
      <c r="C173" s="3" t="s">
        <v>28</v>
      </c>
      <c r="D173" s="3" t="s">
        <v>32</v>
      </c>
      <c r="E173" s="3" t="s">
        <v>15</v>
      </c>
      <c r="F173" s="3" t="s">
        <v>537</v>
      </c>
      <c r="G173" s="3" t="s">
        <v>538</v>
      </c>
      <c r="H173" s="3" t="s">
        <v>39</v>
      </c>
      <c r="I173" s="3">
        <v>1416.98</v>
      </c>
      <c r="J173" s="3">
        <v>8</v>
      </c>
      <c r="K173" s="3">
        <v>360.68</v>
      </c>
      <c r="L173" s="3">
        <v>7.0000000000000007E-2</v>
      </c>
    </row>
    <row r="174" spans="1:12" ht="15.75" customHeight="1">
      <c r="A174" s="3" t="s">
        <v>539</v>
      </c>
      <c r="B174" s="25">
        <v>45972</v>
      </c>
      <c r="C174" s="3" t="s">
        <v>13</v>
      </c>
      <c r="D174" s="3" t="s">
        <v>21</v>
      </c>
      <c r="E174" s="3" t="s">
        <v>15</v>
      </c>
      <c r="F174" s="3" t="s">
        <v>540</v>
      </c>
      <c r="G174" s="3" t="s">
        <v>541</v>
      </c>
      <c r="H174" s="3" t="s">
        <v>18</v>
      </c>
      <c r="I174" s="3">
        <v>1914.54</v>
      </c>
      <c r="J174" s="3">
        <v>8</v>
      </c>
      <c r="K174" s="3">
        <v>192.01</v>
      </c>
      <c r="L174" s="3">
        <v>0.08</v>
      </c>
    </row>
    <row r="175" spans="1:12" ht="15.75" customHeight="1">
      <c r="A175" s="3" t="s">
        <v>542</v>
      </c>
      <c r="B175" s="25">
        <v>45681</v>
      </c>
      <c r="C175" s="3" t="s">
        <v>20</v>
      </c>
      <c r="D175" s="3" t="s">
        <v>32</v>
      </c>
      <c r="E175" s="3" t="s">
        <v>15</v>
      </c>
      <c r="F175" s="3" t="s">
        <v>543</v>
      </c>
      <c r="G175" s="3" t="s">
        <v>544</v>
      </c>
      <c r="H175" s="3" t="s">
        <v>18</v>
      </c>
      <c r="I175" s="3">
        <v>297.25</v>
      </c>
      <c r="J175" s="3">
        <v>2</v>
      </c>
      <c r="K175" s="3">
        <v>48.22</v>
      </c>
      <c r="L175" s="3">
        <v>0.02</v>
      </c>
    </row>
    <row r="176" spans="1:12" ht="15.75" customHeight="1">
      <c r="A176" s="3" t="s">
        <v>545</v>
      </c>
      <c r="B176" s="25">
        <v>46007</v>
      </c>
      <c r="C176" s="3" t="s">
        <v>20</v>
      </c>
      <c r="D176" s="3" t="s">
        <v>14</v>
      </c>
      <c r="E176" s="3" t="s">
        <v>15</v>
      </c>
      <c r="F176" s="3" t="s">
        <v>546</v>
      </c>
      <c r="G176" s="3" t="s">
        <v>547</v>
      </c>
      <c r="H176" s="3" t="s">
        <v>18</v>
      </c>
      <c r="I176" s="3">
        <v>1040.8</v>
      </c>
      <c r="J176" s="3">
        <v>3</v>
      </c>
      <c r="K176" s="3">
        <v>75.16</v>
      </c>
      <c r="L176" s="3">
        <v>0.15</v>
      </c>
    </row>
    <row r="177" spans="1:12" ht="15.75" customHeight="1">
      <c r="A177" s="3" t="s">
        <v>548</v>
      </c>
      <c r="B177" s="25">
        <v>45949</v>
      </c>
      <c r="C177" s="3" t="s">
        <v>28</v>
      </c>
      <c r="D177" s="3" t="s">
        <v>21</v>
      </c>
      <c r="E177" s="3" t="s">
        <v>15</v>
      </c>
      <c r="F177" s="3" t="s">
        <v>549</v>
      </c>
      <c r="G177" s="3" t="s">
        <v>550</v>
      </c>
      <c r="H177" s="3" t="s">
        <v>18</v>
      </c>
      <c r="I177" s="3">
        <v>1531.51</v>
      </c>
      <c r="J177" s="3">
        <v>10</v>
      </c>
      <c r="K177" s="3">
        <v>580.32000000000005</v>
      </c>
      <c r="L177" s="3">
        <v>0.3</v>
      </c>
    </row>
    <row r="178" spans="1:12" ht="15.75" customHeight="1">
      <c r="A178" s="3" t="s">
        <v>551</v>
      </c>
      <c r="B178" s="25">
        <v>45978</v>
      </c>
      <c r="C178" s="3" t="s">
        <v>41</v>
      </c>
      <c r="D178" s="3" t="s">
        <v>14</v>
      </c>
      <c r="E178" s="3" t="s">
        <v>15</v>
      </c>
      <c r="F178" s="3" t="s">
        <v>552</v>
      </c>
      <c r="G178" s="3" t="s">
        <v>553</v>
      </c>
      <c r="H178" s="3" t="s">
        <v>18</v>
      </c>
      <c r="I178" s="3">
        <v>1451.63</v>
      </c>
      <c r="J178" s="3">
        <v>9</v>
      </c>
      <c r="K178" s="3">
        <v>546.85</v>
      </c>
      <c r="L178" s="3">
        <v>0.1</v>
      </c>
    </row>
    <row r="179" spans="1:12" ht="15.75" customHeight="1">
      <c r="A179" s="3" t="s">
        <v>554</v>
      </c>
      <c r="B179" s="25">
        <v>45951</v>
      </c>
      <c r="C179" s="3" t="s">
        <v>20</v>
      </c>
      <c r="D179" s="3" t="s">
        <v>32</v>
      </c>
      <c r="E179" s="3" t="s">
        <v>15</v>
      </c>
      <c r="F179" s="3" t="s">
        <v>555</v>
      </c>
      <c r="G179" s="3" t="s">
        <v>556</v>
      </c>
      <c r="H179" s="3" t="s">
        <v>18</v>
      </c>
      <c r="I179" s="3">
        <v>1513.83</v>
      </c>
      <c r="J179" s="3">
        <v>10</v>
      </c>
      <c r="K179" s="3">
        <v>365.61</v>
      </c>
      <c r="L179" s="3">
        <v>0.22</v>
      </c>
    </row>
    <row r="180" spans="1:12" ht="15.75" customHeight="1">
      <c r="A180" s="3" t="s">
        <v>557</v>
      </c>
      <c r="B180" s="25">
        <v>45800</v>
      </c>
      <c r="C180" s="3" t="s">
        <v>13</v>
      </c>
      <c r="D180" s="3" t="s">
        <v>14</v>
      </c>
      <c r="E180" s="3" t="s">
        <v>15</v>
      </c>
      <c r="F180" s="3" t="s">
        <v>558</v>
      </c>
      <c r="G180" s="3" t="s">
        <v>559</v>
      </c>
      <c r="H180" s="3" t="s">
        <v>35</v>
      </c>
      <c r="I180" s="3">
        <v>217.44</v>
      </c>
      <c r="J180" s="3">
        <v>2</v>
      </c>
      <c r="K180" s="3">
        <v>85.65</v>
      </c>
      <c r="L180" s="3">
        <v>0.2</v>
      </c>
    </row>
    <row r="181" spans="1:12" ht="15.75" customHeight="1">
      <c r="A181" s="3" t="s">
        <v>560</v>
      </c>
      <c r="B181" s="25">
        <v>45701</v>
      </c>
      <c r="C181" s="3" t="s">
        <v>20</v>
      </c>
      <c r="D181" s="3" t="s">
        <v>32</v>
      </c>
      <c r="E181" s="3" t="s">
        <v>15</v>
      </c>
      <c r="F181" s="3" t="s">
        <v>561</v>
      </c>
      <c r="G181" s="3" t="s">
        <v>562</v>
      </c>
      <c r="H181" s="3" t="s">
        <v>18</v>
      </c>
      <c r="I181" s="3">
        <v>561.39</v>
      </c>
      <c r="J181" s="3">
        <v>7</v>
      </c>
      <c r="K181" s="3">
        <v>79.23</v>
      </c>
      <c r="L181" s="3">
        <v>0.06</v>
      </c>
    </row>
    <row r="182" spans="1:12" ht="15.75" customHeight="1">
      <c r="A182" s="3" t="s">
        <v>563</v>
      </c>
      <c r="B182" s="25">
        <v>45969</v>
      </c>
      <c r="C182" s="3" t="s">
        <v>13</v>
      </c>
      <c r="D182" s="3" t="s">
        <v>32</v>
      </c>
      <c r="E182" s="3" t="s">
        <v>15</v>
      </c>
      <c r="F182" s="3" t="s">
        <v>564</v>
      </c>
      <c r="G182" s="3" t="s">
        <v>565</v>
      </c>
      <c r="H182" s="3" t="s">
        <v>18</v>
      </c>
      <c r="I182" s="3">
        <v>276.75</v>
      </c>
      <c r="J182" s="3">
        <v>7</v>
      </c>
      <c r="K182" s="3">
        <v>107.47</v>
      </c>
      <c r="L182" s="3">
        <v>0.27</v>
      </c>
    </row>
    <row r="183" spans="1:12" ht="15.75" customHeight="1">
      <c r="A183" s="3" t="s">
        <v>566</v>
      </c>
      <c r="B183" s="25">
        <v>45850</v>
      </c>
      <c r="C183" s="3" t="s">
        <v>13</v>
      </c>
      <c r="D183" s="3" t="s">
        <v>21</v>
      </c>
      <c r="E183" s="3" t="s">
        <v>15</v>
      </c>
      <c r="F183" s="3" t="s">
        <v>567</v>
      </c>
      <c r="G183" s="3" t="s">
        <v>568</v>
      </c>
      <c r="H183" s="3" t="s">
        <v>39</v>
      </c>
      <c r="I183" s="3">
        <v>154.88999999999999</v>
      </c>
      <c r="J183" s="3">
        <v>6</v>
      </c>
      <c r="K183" s="3">
        <v>47.4</v>
      </c>
      <c r="L183" s="3">
        <v>0.09</v>
      </c>
    </row>
    <row r="184" spans="1:12" ht="15.75" customHeight="1">
      <c r="A184" s="3" t="s">
        <v>569</v>
      </c>
      <c r="B184" s="25">
        <v>46005</v>
      </c>
      <c r="C184" s="3" t="s">
        <v>41</v>
      </c>
      <c r="D184" s="3" t="s">
        <v>32</v>
      </c>
      <c r="E184" s="3" t="s">
        <v>15</v>
      </c>
      <c r="F184" s="3" t="s">
        <v>570</v>
      </c>
      <c r="G184" s="3" t="s">
        <v>571</v>
      </c>
      <c r="H184" s="3" t="s">
        <v>18</v>
      </c>
      <c r="I184" s="3">
        <v>945.07</v>
      </c>
      <c r="J184" s="3">
        <v>6</v>
      </c>
      <c r="K184" s="3">
        <v>238.54</v>
      </c>
      <c r="L184" s="3">
        <v>0.02</v>
      </c>
    </row>
    <row r="185" spans="1:12" ht="15.75" customHeight="1">
      <c r="A185" s="3" t="s">
        <v>572</v>
      </c>
      <c r="B185" s="25">
        <v>45895</v>
      </c>
      <c r="C185" s="3" t="s">
        <v>20</v>
      </c>
      <c r="D185" s="3" t="s">
        <v>32</v>
      </c>
      <c r="E185" s="3" t="s">
        <v>15</v>
      </c>
      <c r="F185" s="3" t="s">
        <v>573</v>
      </c>
      <c r="G185" s="3" t="s">
        <v>574</v>
      </c>
      <c r="H185" s="3" t="s">
        <v>39</v>
      </c>
      <c r="I185" s="3">
        <v>491.92</v>
      </c>
      <c r="J185" s="3">
        <v>6</v>
      </c>
      <c r="K185" s="3">
        <v>72.48</v>
      </c>
      <c r="L185" s="3">
        <v>0.15</v>
      </c>
    </row>
    <row r="186" spans="1:12" ht="15.75" customHeight="1">
      <c r="A186" s="3" t="s">
        <v>575</v>
      </c>
      <c r="B186" s="25">
        <v>45844</v>
      </c>
      <c r="C186" s="3" t="s">
        <v>20</v>
      </c>
      <c r="D186" s="3" t="s">
        <v>21</v>
      </c>
      <c r="E186" s="3" t="s">
        <v>15</v>
      </c>
      <c r="F186" s="3" t="s">
        <v>576</v>
      </c>
      <c r="G186" s="3" t="s">
        <v>577</v>
      </c>
      <c r="H186" s="3" t="s">
        <v>39</v>
      </c>
      <c r="I186" s="3">
        <v>1364.05</v>
      </c>
      <c r="J186" s="3">
        <v>8</v>
      </c>
      <c r="K186" s="3">
        <v>509.56</v>
      </c>
      <c r="L186" s="3">
        <v>0.18</v>
      </c>
    </row>
    <row r="187" spans="1:12" ht="15.75" customHeight="1">
      <c r="A187" s="3" t="s">
        <v>578</v>
      </c>
      <c r="B187" s="25">
        <v>45753</v>
      </c>
      <c r="C187" s="3" t="s">
        <v>28</v>
      </c>
      <c r="D187" s="3" t="s">
        <v>14</v>
      </c>
      <c r="E187" s="3" t="s">
        <v>15</v>
      </c>
      <c r="F187" s="3" t="s">
        <v>579</v>
      </c>
      <c r="G187" s="3" t="s">
        <v>580</v>
      </c>
      <c r="H187" s="3" t="s">
        <v>35</v>
      </c>
      <c r="I187" s="3">
        <v>1881.53</v>
      </c>
      <c r="J187" s="3">
        <v>4</v>
      </c>
      <c r="K187" s="3">
        <v>711.79</v>
      </c>
      <c r="L187" s="3">
        <v>0.18</v>
      </c>
    </row>
    <row r="188" spans="1:12" ht="15.75" customHeight="1">
      <c r="A188" s="3" t="s">
        <v>581</v>
      </c>
      <c r="B188" s="25">
        <v>45886</v>
      </c>
      <c r="C188" s="3" t="s">
        <v>28</v>
      </c>
      <c r="D188" s="3" t="s">
        <v>32</v>
      </c>
      <c r="E188" s="3" t="s">
        <v>15</v>
      </c>
      <c r="F188" s="3" t="s">
        <v>582</v>
      </c>
      <c r="G188" s="3" t="s">
        <v>583</v>
      </c>
      <c r="H188" s="3" t="s">
        <v>35</v>
      </c>
      <c r="I188" s="3">
        <v>217.73</v>
      </c>
      <c r="J188" s="3">
        <v>4</v>
      </c>
      <c r="K188" s="3">
        <v>41.55</v>
      </c>
      <c r="L188" s="3">
        <v>0.06</v>
      </c>
    </row>
    <row r="189" spans="1:12" ht="15.75" customHeight="1">
      <c r="A189" s="3" t="s">
        <v>584</v>
      </c>
      <c r="B189" s="25">
        <v>45720</v>
      </c>
      <c r="C189" s="3" t="s">
        <v>13</v>
      </c>
      <c r="D189" s="3" t="s">
        <v>21</v>
      </c>
      <c r="E189" s="3" t="s">
        <v>15</v>
      </c>
      <c r="F189" s="3" t="s">
        <v>585</v>
      </c>
      <c r="G189" s="3" t="s">
        <v>586</v>
      </c>
      <c r="H189" s="3" t="s">
        <v>35</v>
      </c>
      <c r="I189" s="3">
        <v>476.3</v>
      </c>
      <c r="J189" s="3">
        <v>6</v>
      </c>
      <c r="K189" s="3">
        <v>123.18</v>
      </c>
      <c r="L189" s="3">
        <v>0.02</v>
      </c>
    </row>
    <row r="190" spans="1:12" ht="15.75" customHeight="1">
      <c r="A190" s="3" t="s">
        <v>587</v>
      </c>
      <c r="B190" s="25">
        <v>45916</v>
      </c>
      <c r="C190" s="3" t="s">
        <v>28</v>
      </c>
      <c r="D190" s="3" t="s">
        <v>21</v>
      </c>
      <c r="E190" s="3" t="s">
        <v>15</v>
      </c>
      <c r="F190" s="3" t="s">
        <v>588</v>
      </c>
      <c r="G190" s="3" t="s">
        <v>589</v>
      </c>
      <c r="H190" s="3" t="s">
        <v>39</v>
      </c>
      <c r="I190" s="3">
        <v>1444.3</v>
      </c>
      <c r="J190" s="3">
        <v>2</v>
      </c>
      <c r="K190" s="3">
        <v>543.33000000000004</v>
      </c>
      <c r="L190" s="3">
        <v>0.11</v>
      </c>
    </row>
    <row r="191" spans="1:12" ht="15.75" customHeight="1">
      <c r="A191" s="3" t="s">
        <v>590</v>
      </c>
      <c r="B191" s="25">
        <v>45762</v>
      </c>
      <c r="C191" s="3" t="s">
        <v>28</v>
      </c>
      <c r="D191" s="3" t="s">
        <v>21</v>
      </c>
      <c r="E191" s="3" t="s">
        <v>15</v>
      </c>
      <c r="F191" s="3" t="s">
        <v>591</v>
      </c>
      <c r="G191" s="3" t="s">
        <v>592</v>
      </c>
      <c r="H191" s="3" t="s">
        <v>39</v>
      </c>
      <c r="I191" s="3">
        <v>1133.18</v>
      </c>
      <c r="J191" s="3">
        <v>3</v>
      </c>
      <c r="K191" s="3">
        <v>349.23</v>
      </c>
      <c r="L191" s="3">
        <v>0.2</v>
      </c>
    </row>
    <row r="192" spans="1:12" ht="15.75" customHeight="1">
      <c r="A192" s="3" t="s">
        <v>593</v>
      </c>
      <c r="B192" s="25">
        <v>45885</v>
      </c>
      <c r="C192" s="3" t="s">
        <v>28</v>
      </c>
      <c r="D192" s="3" t="s">
        <v>32</v>
      </c>
      <c r="E192" s="3" t="s">
        <v>15</v>
      </c>
      <c r="F192" s="3" t="s">
        <v>594</v>
      </c>
      <c r="G192" s="3" t="s">
        <v>595</v>
      </c>
      <c r="H192" s="3" t="s">
        <v>35</v>
      </c>
      <c r="I192" s="3">
        <v>1847.85</v>
      </c>
      <c r="J192" s="3">
        <v>5</v>
      </c>
      <c r="K192" s="3">
        <v>718.83</v>
      </c>
      <c r="L192" s="3">
        <v>0.2</v>
      </c>
    </row>
    <row r="193" spans="1:12" ht="15.75" customHeight="1">
      <c r="A193" s="3" t="s">
        <v>596</v>
      </c>
      <c r="B193" s="25">
        <v>45839</v>
      </c>
      <c r="C193" s="3" t="s">
        <v>20</v>
      </c>
      <c r="D193" s="3" t="s">
        <v>21</v>
      </c>
      <c r="E193" s="3" t="s">
        <v>15</v>
      </c>
      <c r="F193" s="3" t="s">
        <v>597</v>
      </c>
      <c r="G193" s="3" t="s">
        <v>598</v>
      </c>
      <c r="H193" s="3" t="s">
        <v>35</v>
      </c>
      <c r="I193" s="3">
        <v>1865.82</v>
      </c>
      <c r="J193" s="3">
        <v>2</v>
      </c>
      <c r="K193" s="3">
        <v>137.66</v>
      </c>
      <c r="L193" s="3">
        <v>0.14000000000000001</v>
      </c>
    </row>
    <row r="194" spans="1:12" ht="15.75" customHeight="1">
      <c r="A194" s="3" t="s">
        <v>599</v>
      </c>
      <c r="B194" s="25">
        <v>45716</v>
      </c>
      <c r="C194" s="3" t="s">
        <v>20</v>
      </c>
      <c r="D194" s="3" t="s">
        <v>21</v>
      </c>
      <c r="E194" s="3" t="s">
        <v>15</v>
      </c>
      <c r="F194" s="3" t="s">
        <v>600</v>
      </c>
      <c r="G194" s="3" t="s">
        <v>601</v>
      </c>
      <c r="H194" s="3" t="s">
        <v>18</v>
      </c>
      <c r="I194" s="3">
        <v>748.41</v>
      </c>
      <c r="J194" s="3">
        <v>3</v>
      </c>
      <c r="K194" s="3">
        <v>50.82</v>
      </c>
      <c r="L194" s="3">
        <v>0.1</v>
      </c>
    </row>
    <row r="195" spans="1:12" ht="15.75" customHeight="1">
      <c r="A195" s="3" t="s">
        <v>602</v>
      </c>
      <c r="B195" s="25">
        <v>45896</v>
      </c>
      <c r="C195" s="3" t="s">
        <v>41</v>
      </c>
      <c r="D195" s="3" t="s">
        <v>32</v>
      </c>
      <c r="E195" s="3" t="s">
        <v>15</v>
      </c>
      <c r="F195" s="3" t="s">
        <v>603</v>
      </c>
      <c r="G195" s="3" t="s">
        <v>604</v>
      </c>
      <c r="H195" s="3" t="s">
        <v>18</v>
      </c>
      <c r="I195" s="3">
        <v>534.6</v>
      </c>
      <c r="J195" s="3">
        <v>2</v>
      </c>
      <c r="K195" s="3">
        <v>123.46</v>
      </c>
      <c r="L195" s="3">
        <v>0.06</v>
      </c>
    </row>
    <row r="196" spans="1:12" ht="15.75" customHeight="1">
      <c r="A196" s="3" t="s">
        <v>605</v>
      </c>
      <c r="B196" s="25">
        <v>45741</v>
      </c>
      <c r="C196" s="3" t="s">
        <v>13</v>
      </c>
      <c r="D196" s="3" t="s">
        <v>14</v>
      </c>
      <c r="E196" s="3" t="s">
        <v>15</v>
      </c>
      <c r="F196" s="3" t="s">
        <v>606</v>
      </c>
      <c r="G196" s="3" t="s">
        <v>607</v>
      </c>
      <c r="H196" s="3" t="s">
        <v>18</v>
      </c>
      <c r="I196" s="3">
        <v>548.76</v>
      </c>
      <c r="J196" s="3">
        <v>9</v>
      </c>
      <c r="K196" s="3">
        <v>148.41999999999999</v>
      </c>
      <c r="L196" s="3">
        <v>0.15</v>
      </c>
    </row>
    <row r="197" spans="1:12" ht="15.75" customHeight="1">
      <c r="A197" s="3" t="s">
        <v>608</v>
      </c>
      <c r="B197" s="25">
        <v>45920</v>
      </c>
      <c r="C197" s="3" t="s">
        <v>20</v>
      </c>
      <c r="D197" s="3" t="s">
        <v>14</v>
      </c>
      <c r="E197" s="3" t="s">
        <v>15</v>
      </c>
      <c r="F197" s="3" t="s">
        <v>609</v>
      </c>
      <c r="G197" s="3" t="s">
        <v>610</v>
      </c>
      <c r="H197" s="3" t="s">
        <v>18</v>
      </c>
      <c r="I197" s="3">
        <v>542.97</v>
      </c>
      <c r="J197" s="3">
        <v>10</v>
      </c>
      <c r="K197" s="3">
        <v>99.45</v>
      </c>
      <c r="L197" s="3">
        <v>0.3</v>
      </c>
    </row>
    <row r="198" spans="1:12" ht="15.75" customHeight="1">
      <c r="A198" s="3" t="s">
        <v>611</v>
      </c>
      <c r="B198" s="25">
        <v>45967</v>
      </c>
      <c r="C198" s="3" t="s">
        <v>13</v>
      </c>
      <c r="D198" s="3" t="s">
        <v>21</v>
      </c>
      <c r="E198" s="3" t="s">
        <v>15</v>
      </c>
      <c r="F198" s="3" t="s">
        <v>612</v>
      </c>
      <c r="G198" s="3" t="s">
        <v>613</v>
      </c>
      <c r="H198" s="3" t="s">
        <v>39</v>
      </c>
      <c r="I198" s="3">
        <v>1771.2</v>
      </c>
      <c r="J198" s="3">
        <v>6</v>
      </c>
      <c r="K198" s="3">
        <v>430.56</v>
      </c>
      <c r="L198" s="3">
        <v>0.22</v>
      </c>
    </row>
    <row r="199" spans="1:12" ht="15.75" customHeight="1">
      <c r="A199" s="3" t="s">
        <v>614</v>
      </c>
      <c r="B199" s="25">
        <v>45815</v>
      </c>
      <c r="C199" s="3" t="s">
        <v>41</v>
      </c>
      <c r="D199" s="3" t="s">
        <v>14</v>
      </c>
      <c r="E199" s="3" t="s">
        <v>15</v>
      </c>
      <c r="F199" s="3" t="s">
        <v>615</v>
      </c>
      <c r="G199" s="3" t="s">
        <v>616</v>
      </c>
      <c r="H199" s="3" t="s">
        <v>39</v>
      </c>
      <c r="I199" s="3">
        <v>1652.21</v>
      </c>
      <c r="J199" s="3">
        <v>2</v>
      </c>
      <c r="K199" s="3">
        <v>491.85</v>
      </c>
      <c r="L199" s="3">
        <v>0.19</v>
      </c>
    </row>
    <row r="200" spans="1:12" ht="15.75" customHeight="1">
      <c r="A200" s="3" t="s">
        <v>617</v>
      </c>
      <c r="B200" s="25">
        <v>45866</v>
      </c>
      <c r="C200" s="3" t="s">
        <v>28</v>
      </c>
      <c r="D200" s="3" t="s">
        <v>21</v>
      </c>
      <c r="E200" s="3" t="s">
        <v>15</v>
      </c>
      <c r="F200" s="3" t="s">
        <v>618</v>
      </c>
      <c r="G200" s="3" t="s">
        <v>619</v>
      </c>
      <c r="H200" s="3" t="s">
        <v>35</v>
      </c>
      <c r="I200" s="3">
        <v>1373.66</v>
      </c>
      <c r="J200" s="3">
        <v>3</v>
      </c>
      <c r="K200" s="3">
        <v>520.6</v>
      </c>
      <c r="L200" s="3">
        <v>0.3</v>
      </c>
    </row>
    <row r="201" spans="1:12" ht="15.75" customHeight="1">
      <c r="A201" s="3" t="s">
        <v>620</v>
      </c>
      <c r="B201" s="25">
        <v>45934</v>
      </c>
      <c r="C201" s="3" t="s">
        <v>41</v>
      </c>
      <c r="D201" s="3" t="s">
        <v>21</v>
      </c>
      <c r="E201" s="3" t="s">
        <v>15</v>
      </c>
      <c r="F201" s="3" t="s">
        <v>621</v>
      </c>
      <c r="G201" s="3" t="s">
        <v>622</v>
      </c>
      <c r="H201" s="3" t="s">
        <v>35</v>
      </c>
      <c r="I201" s="3">
        <v>549.12</v>
      </c>
      <c r="J201" s="3">
        <v>6</v>
      </c>
      <c r="K201" s="3">
        <v>195.19</v>
      </c>
      <c r="L201" s="3">
        <v>7.0000000000000007E-2</v>
      </c>
    </row>
    <row r="202" spans="1:12" ht="15.75" customHeight="1">
      <c r="A202" s="3" t="s">
        <v>623</v>
      </c>
      <c r="B202" s="25">
        <v>45951</v>
      </c>
      <c r="C202" s="3" t="s">
        <v>28</v>
      </c>
      <c r="D202" s="3" t="s">
        <v>21</v>
      </c>
      <c r="E202" s="3" t="s">
        <v>15</v>
      </c>
      <c r="F202" s="3" t="s">
        <v>624</v>
      </c>
      <c r="G202" s="3" t="s">
        <v>625</v>
      </c>
      <c r="H202" s="3" t="s">
        <v>18</v>
      </c>
      <c r="I202" s="3">
        <v>857.24</v>
      </c>
      <c r="J202" s="3">
        <v>4</v>
      </c>
      <c r="K202" s="3">
        <v>199.66</v>
      </c>
      <c r="L202" s="3">
        <v>0.27</v>
      </c>
    </row>
    <row r="203" spans="1:12" ht="15.75" customHeight="1">
      <c r="A203" s="3" t="s">
        <v>626</v>
      </c>
      <c r="B203" s="25">
        <v>45877</v>
      </c>
      <c r="C203" s="3" t="s">
        <v>20</v>
      </c>
      <c r="D203" s="3" t="s">
        <v>14</v>
      </c>
      <c r="E203" s="3" t="s">
        <v>15</v>
      </c>
      <c r="F203" s="3" t="s">
        <v>627</v>
      </c>
      <c r="G203" s="3" t="s">
        <v>628</v>
      </c>
      <c r="H203" s="3" t="s">
        <v>18</v>
      </c>
      <c r="I203" s="3">
        <v>720.32</v>
      </c>
      <c r="J203" s="3">
        <v>3</v>
      </c>
      <c r="K203" s="3">
        <v>85.94</v>
      </c>
      <c r="L203" s="3">
        <v>0.03</v>
      </c>
    </row>
    <row r="204" spans="1:12" ht="15.75" customHeight="1">
      <c r="A204" s="3" t="s">
        <v>629</v>
      </c>
      <c r="B204" s="25">
        <v>45884</v>
      </c>
      <c r="C204" s="3" t="s">
        <v>28</v>
      </c>
      <c r="D204" s="3" t="s">
        <v>32</v>
      </c>
      <c r="E204" s="3" t="s">
        <v>15</v>
      </c>
      <c r="F204" s="3" t="s">
        <v>630</v>
      </c>
      <c r="G204" s="3" t="s">
        <v>631</v>
      </c>
      <c r="H204" s="3" t="s">
        <v>39</v>
      </c>
      <c r="I204" s="3">
        <v>184</v>
      </c>
      <c r="J204" s="3">
        <v>3</v>
      </c>
      <c r="K204" s="3">
        <v>35.85</v>
      </c>
      <c r="L204" s="3">
        <v>0.28000000000000003</v>
      </c>
    </row>
    <row r="205" spans="1:12" ht="15.75" customHeight="1">
      <c r="A205" s="3" t="s">
        <v>632</v>
      </c>
      <c r="B205" s="25">
        <v>45982</v>
      </c>
      <c r="C205" s="3" t="s">
        <v>41</v>
      </c>
      <c r="D205" s="3" t="s">
        <v>32</v>
      </c>
      <c r="E205" s="3" t="s">
        <v>15</v>
      </c>
      <c r="F205" s="3" t="s">
        <v>633</v>
      </c>
      <c r="G205" s="3" t="s">
        <v>634</v>
      </c>
      <c r="H205" s="3" t="s">
        <v>39</v>
      </c>
      <c r="I205" s="3">
        <v>752.32</v>
      </c>
      <c r="J205" s="3">
        <v>7</v>
      </c>
      <c r="K205" s="3">
        <v>226.46</v>
      </c>
      <c r="L205" s="3">
        <v>0.02</v>
      </c>
    </row>
    <row r="206" spans="1:12" ht="15.75" customHeight="1">
      <c r="A206" s="3" t="s">
        <v>635</v>
      </c>
      <c r="B206" s="25">
        <v>45730</v>
      </c>
      <c r="C206" s="3" t="s">
        <v>20</v>
      </c>
      <c r="D206" s="3" t="s">
        <v>32</v>
      </c>
      <c r="E206" s="3" t="s">
        <v>15</v>
      </c>
      <c r="F206" s="3" t="s">
        <v>636</v>
      </c>
      <c r="G206" s="3" t="s">
        <v>637</v>
      </c>
      <c r="H206" s="3" t="s">
        <v>18</v>
      </c>
      <c r="I206" s="3">
        <v>485.04</v>
      </c>
      <c r="J206" s="3">
        <v>8</v>
      </c>
      <c r="K206" s="3">
        <v>35.78</v>
      </c>
      <c r="L206" s="3">
        <v>0.05</v>
      </c>
    </row>
    <row r="207" spans="1:12" ht="15.75" customHeight="1">
      <c r="A207" s="3" t="s">
        <v>638</v>
      </c>
      <c r="B207" s="25">
        <v>45873</v>
      </c>
      <c r="C207" s="3" t="s">
        <v>13</v>
      </c>
      <c r="D207" s="3" t="s">
        <v>14</v>
      </c>
      <c r="E207" s="3" t="s">
        <v>15</v>
      </c>
      <c r="F207" s="3" t="s">
        <v>639</v>
      </c>
      <c r="G207" s="3" t="s">
        <v>640</v>
      </c>
      <c r="H207" s="3" t="s">
        <v>39</v>
      </c>
      <c r="I207" s="3">
        <v>846.34</v>
      </c>
      <c r="J207" s="3">
        <v>2</v>
      </c>
      <c r="K207" s="3">
        <v>295.55</v>
      </c>
      <c r="L207" s="3">
        <v>0.23</v>
      </c>
    </row>
    <row r="208" spans="1:12" ht="15.75" customHeight="1">
      <c r="A208" s="3" t="s">
        <v>641</v>
      </c>
      <c r="B208" s="25">
        <v>45759</v>
      </c>
      <c r="C208" s="3" t="s">
        <v>41</v>
      </c>
      <c r="D208" s="3" t="s">
        <v>32</v>
      </c>
      <c r="E208" s="3" t="s">
        <v>15</v>
      </c>
      <c r="F208" s="3" t="s">
        <v>642</v>
      </c>
      <c r="G208" s="3" t="s">
        <v>643</v>
      </c>
      <c r="H208" s="3" t="s">
        <v>35</v>
      </c>
      <c r="I208" s="3">
        <v>555.87</v>
      </c>
      <c r="J208" s="3">
        <v>4</v>
      </c>
      <c r="K208" s="3">
        <v>181.6</v>
      </c>
      <c r="L208" s="3">
        <v>0.27</v>
      </c>
    </row>
    <row r="209" spans="1:12" ht="15.75" customHeight="1">
      <c r="A209" s="3" t="s">
        <v>644</v>
      </c>
      <c r="B209" s="25">
        <v>45698</v>
      </c>
      <c r="C209" s="3" t="s">
        <v>28</v>
      </c>
      <c r="D209" s="3" t="s">
        <v>32</v>
      </c>
      <c r="E209" s="3" t="s">
        <v>15</v>
      </c>
      <c r="F209" s="3" t="s">
        <v>645</v>
      </c>
      <c r="G209" s="3" t="s">
        <v>646</v>
      </c>
      <c r="H209" s="3" t="s">
        <v>35</v>
      </c>
      <c r="I209" s="3">
        <v>1411.29</v>
      </c>
      <c r="J209" s="3">
        <v>4</v>
      </c>
      <c r="K209" s="3">
        <v>507.6</v>
      </c>
      <c r="L209" s="3">
        <v>7.0000000000000007E-2</v>
      </c>
    </row>
    <row r="210" spans="1:12" ht="15.75" customHeight="1">
      <c r="A210" s="3" t="s">
        <v>647</v>
      </c>
      <c r="B210" s="25">
        <v>45717</v>
      </c>
      <c r="C210" s="3" t="s">
        <v>28</v>
      </c>
      <c r="D210" s="3" t="s">
        <v>32</v>
      </c>
      <c r="E210" s="3" t="s">
        <v>15</v>
      </c>
      <c r="F210" s="3" t="s">
        <v>648</v>
      </c>
      <c r="G210" s="3" t="s">
        <v>649</v>
      </c>
      <c r="H210" s="3" t="s">
        <v>35</v>
      </c>
      <c r="I210" s="3">
        <v>611.26</v>
      </c>
      <c r="J210" s="3">
        <v>10</v>
      </c>
      <c r="K210" s="3">
        <v>154.32</v>
      </c>
      <c r="L210" s="3">
        <v>0.03</v>
      </c>
    </row>
    <row r="211" spans="1:12" ht="15.75" customHeight="1">
      <c r="A211" s="3" t="s">
        <v>650</v>
      </c>
      <c r="B211" s="25">
        <v>45821</v>
      </c>
      <c r="C211" s="3" t="s">
        <v>20</v>
      </c>
      <c r="D211" s="3" t="s">
        <v>32</v>
      </c>
      <c r="E211" s="3" t="s">
        <v>15</v>
      </c>
      <c r="F211" s="3" t="s">
        <v>651</v>
      </c>
      <c r="G211" s="3" t="s">
        <v>652</v>
      </c>
      <c r="H211" s="3" t="s">
        <v>35</v>
      </c>
      <c r="I211" s="3">
        <v>1497.91</v>
      </c>
      <c r="J211" s="3">
        <v>1</v>
      </c>
      <c r="K211" s="3">
        <v>140.24</v>
      </c>
      <c r="L211" s="3">
        <v>0.03</v>
      </c>
    </row>
    <row r="212" spans="1:12" ht="15.75" customHeight="1">
      <c r="A212" s="3" t="s">
        <v>653</v>
      </c>
      <c r="B212" s="25">
        <v>45885</v>
      </c>
      <c r="C212" s="3" t="s">
        <v>20</v>
      </c>
      <c r="D212" s="3" t="s">
        <v>14</v>
      </c>
      <c r="E212" s="3" t="s">
        <v>15</v>
      </c>
      <c r="F212" s="3" t="s">
        <v>654</v>
      </c>
      <c r="G212" s="3" t="s">
        <v>655</v>
      </c>
      <c r="H212" s="3" t="s">
        <v>35</v>
      </c>
      <c r="I212" s="3">
        <v>880.01</v>
      </c>
      <c r="J212" s="3">
        <v>4</v>
      </c>
      <c r="K212" s="3">
        <v>218.58</v>
      </c>
      <c r="L212" s="3">
        <v>0.22</v>
      </c>
    </row>
    <row r="213" spans="1:12" ht="15.75" customHeight="1">
      <c r="A213" s="3" t="s">
        <v>656</v>
      </c>
      <c r="B213" s="25">
        <v>45737</v>
      </c>
      <c r="C213" s="3" t="s">
        <v>13</v>
      </c>
      <c r="D213" s="3" t="s">
        <v>21</v>
      </c>
      <c r="E213" s="3" t="s">
        <v>15</v>
      </c>
      <c r="F213" s="3" t="s">
        <v>657</v>
      </c>
      <c r="G213" s="3" t="s">
        <v>658</v>
      </c>
      <c r="H213" s="3" t="s">
        <v>18</v>
      </c>
      <c r="I213" s="3">
        <v>1090.02</v>
      </c>
      <c r="J213" s="3">
        <v>10</v>
      </c>
      <c r="K213" s="3">
        <v>403.52</v>
      </c>
      <c r="L213" s="3">
        <v>0.06</v>
      </c>
    </row>
    <row r="214" spans="1:12" ht="15.75" customHeight="1">
      <c r="A214" s="3" t="s">
        <v>659</v>
      </c>
      <c r="B214" s="25">
        <v>45955</v>
      </c>
      <c r="C214" s="3" t="s">
        <v>28</v>
      </c>
      <c r="D214" s="3" t="s">
        <v>14</v>
      </c>
      <c r="E214" s="3" t="s">
        <v>15</v>
      </c>
      <c r="F214" s="3" t="s">
        <v>660</v>
      </c>
      <c r="G214" s="3" t="s">
        <v>661</v>
      </c>
      <c r="H214" s="3" t="s">
        <v>18</v>
      </c>
      <c r="I214" s="3">
        <v>1473.26</v>
      </c>
      <c r="J214" s="3">
        <v>5</v>
      </c>
      <c r="K214" s="3">
        <v>139.62</v>
      </c>
      <c r="L214" s="3">
        <v>0.18</v>
      </c>
    </row>
    <row r="215" spans="1:12" ht="15.75" customHeight="1">
      <c r="A215" s="3" t="s">
        <v>662</v>
      </c>
      <c r="B215" s="25">
        <v>46011</v>
      </c>
      <c r="C215" s="3" t="s">
        <v>20</v>
      </c>
      <c r="D215" s="3" t="s">
        <v>14</v>
      </c>
      <c r="E215" s="3" t="s">
        <v>15</v>
      </c>
      <c r="F215" s="3" t="s">
        <v>663</v>
      </c>
      <c r="G215" s="3" t="s">
        <v>664</v>
      </c>
      <c r="H215" s="3" t="s">
        <v>39</v>
      </c>
      <c r="I215" s="3">
        <v>622.79999999999995</v>
      </c>
      <c r="J215" s="3">
        <v>4</v>
      </c>
      <c r="K215" s="3">
        <v>66.319999999999993</v>
      </c>
      <c r="L215" s="3">
        <v>0.1</v>
      </c>
    </row>
    <row r="216" spans="1:12" ht="15.75" customHeight="1">
      <c r="A216" s="3" t="s">
        <v>665</v>
      </c>
      <c r="B216" s="25">
        <v>45682</v>
      </c>
      <c r="C216" s="3" t="s">
        <v>41</v>
      </c>
      <c r="D216" s="3" t="s">
        <v>14</v>
      </c>
      <c r="E216" s="3" t="s">
        <v>15</v>
      </c>
      <c r="F216" s="3" t="s">
        <v>666</v>
      </c>
      <c r="G216" s="3" t="s">
        <v>667</v>
      </c>
      <c r="H216" s="3" t="s">
        <v>39</v>
      </c>
      <c r="I216" s="3">
        <v>1376.32</v>
      </c>
      <c r="J216" s="3">
        <v>7</v>
      </c>
      <c r="K216" s="3">
        <v>468.91</v>
      </c>
      <c r="L216" s="3">
        <v>0.19</v>
      </c>
    </row>
    <row r="217" spans="1:12" ht="15.75" customHeight="1">
      <c r="A217" s="3" t="s">
        <v>668</v>
      </c>
      <c r="B217" s="25">
        <v>45701</v>
      </c>
      <c r="C217" s="3" t="s">
        <v>28</v>
      </c>
      <c r="D217" s="3" t="s">
        <v>32</v>
      </c>
      <c r="E217" s="3" t="s">
        <v>15</v>
      </c>
      <c r="F217" s="3" t="s">
        <v>669</v>
      </c>
      <c r="G217" s="3" t="s">
        <v>670</v>
      </c>
      <c r="H217" s="3" t="s">
        <v>35</v>
      </c>
      <c r="I217" s="3">
        <v>717.99</v>
      </c>
      <c r="J217" s="3">
        <v>8</v>
      </c>
      <c r="K217" s="3">
        <v>160.75</v>
      </c>
      <c r="L217" s="3">
        <v>7.0000000000000007E-2</v>
      </c>
    </row>
    <row r="218" spans="1:12" ht="15.75" customHeight="1">
      <c r="A218" s="3" t="s">
        <v>671</v>
      </c>
      <c r="B218" s="25">
        <v>45939</v>
      </c>
      <c r="C218" s="3" t="s">
        <v>28</v>
      </c>
      <c r="D218" s="3" t="s">
        <v>21</v>
      </c>
      <c r="E218" s="3" t="s">
        <v>15</v>
      </c>
      <c r="F218" s="3" t="s">
        <v>672</v>
      </c>
      <c r="G218" s="3" t="s">
        <v>673</v>
      </c>
      <c r="H218" s="3" t="s">
        <v>35</v>
      </c>
      <c r="I218" s="3">
        <v>1911.63</v>
      </c>
      <c r="J218" s="3">
        <v>9</v>
      </c>
      <c r="K218" s="3">
        <v>645.24</v>
      </c>
      <c r="L218" s="3">
        <v>0.28000000000000003</v>
      </c>
    </row>
    <row r="219" spans="1:12" ht="15.75" customHeight="1">
      <c r="A219" s="3" t="s">
        <v>674</v>
      </c>
      <c r="B219" s="25">
        <v>45759</v>
      </c>
      <c r="C219" s="3" t="s">
        <v>20</v>
      </c>
      <c r="D219" s="3" t="s">
        <v>32</v>
      </c>
      <c r="E219" s="3" t="s">
        <v>15</v>
      </c>
      <c r="F219" s="3" t="s">
        <v>675</v>
      </c>
      <c r="G219" s="3" t="s">
        <v>676</v>
      </c>
      <c r="H219" s="3" t="s">
        <v>35</v>
      </c>
      <c r="I219" s="3">
        <v>1972.02</v>
      </c>
      <c r="J219" s="3">
        <v>2</v>
      </c>
      <c r="K219" s="3">
        <v>106.07</v>
      </c>
      <c r="L219" s="3">
        <v>0.11</v>
      </c>
    </row>
    <row r="220" spans="1:12" ht="15.75" customHeight="1">
      <c r="A220" s="3" t="s">
        <v>677</v>
      </c>
      <c r="B220" s="25">
        <v>45901</v>
      </c>
      <c r="C220" s="3" t="s">
        <v>20</v>
      </c>
      <c r="D220" s="3" t="s">
        <v>21</v>
      </c>
      <c r="E220" s="3" t="s">
        <v>15</v>
      </c>
      <c r="F220" s="3" t="s">
        <v>678</v>
      </c>
      <c r="G220" s="3" t="s">
        <v>679</v>
      </c>
      <c r="H220" s="3" t="s">
        <v>35</v>
      </c>
      <c r="I220" s="3">
        <v>1535.26</v>
      </c>
      <c r="J220" s="3">
        <v>2</v>
      </c>
      <c r="K220" s="3">
        <v>528.84</v>
      </c>
      <c r="L220" s="3">
        <v>0.28000000000000003</v>
      </c>
    </row>
    <row r="221" spans="1:12" ht="15.75" customHeight="1">
      <c r="A221" s="3" t="s">
        <v>680</v>
      </c>
      <c r="B221" s="25">
        <v>45848</v>
      </c>
      <c r="C221" s="3" t="s">
        <v>28</v>
      </c>
      <c r="D221" s="3" t="s">
        <v>32</v>
      </c>
      <c r="E221" s="3" t="s">
        <v>15</v>
      </c>
      <c r="F221" s="3" t="s">
        <v>681</v>
      </c>
      <c r="G221" s="3" t="s">
        <v>682</v>
      </c>
      <c r="H221" s="3" t="s">
        <v>18</v>
      </c>
      <c r="I221" s="3">
        <v>1086.69</v>
      </c>
      <c r="J221" s="3">
        <v>8</v>
      </c>
      <c r="K221" s="3">
        <v>421.47</v>
      </c>
      <c r="L221" s="3">
        <v>0.09</v>
      </c>
    </row>
    <row r="222" spans="1:12" ht="15.75" customHeight="1">
      <c r="A222" s="3" t="s">
        <v>683</v>
      </c>
      <c r="B222" s="25">
        <v>45855</v>
      </c>
      <c r="C222" s="3" t="s">
        <v>28</v>
      </c>
      <c r="D222" s="3" t="s">
        <v>14</v>
      </c>
      <c r="E222" s="3" t="s">
        <v>15</v>
      </c>
      <c r="F222" s="3" t="s">
        <v>684</v>
      </c>
      <c r="G222" s="3" t="s">
        <v>685</v>
      </c>
      <c r="H222" s="3" t="s">
        <v>18</v>
      </c>
      <c r="I222" s="3">
        <v>815.66</v>
      </c>
      <c r="J222" s="3">
        <v>4</v>
      </c>
      <c r="K222" s="3">
        <v>81.52</v>
      </c>
      <c r="L222" s="3">
        <v>0.23</v>
      </c>
    </row>
    <row r="223" spans="1:12" ht="15.75" customHeight="1">
      <c r="A223" s="3" t="s">
        <v>686</v>
      </c>
      <c r="B223" s="25">
        <v>45782</v>
      </c>
      <c r="C223" s="3" t="s">
        <v>41</v>
      </c>
      <c r="D223" s="3" t="s">
        <v>21</v>
      </c>
      <c r="E223" s="3" t="s">
        <v>15</v>
      </c>
      <c r="F223" s="3" t="s">
        <v>687</v>
      </c>
      <c r="G223" s="3" t="s">
        <v>688</v>
      </c>
      <c r="H223" s="3" t="s">
        <v>18</v>
      </c>
      <c r="I223" s="3">
        <v>193.75</v>
      </c>
      <c r="J223" s="3">
        <v>1</v>
      </c>
      <c r="K223" s="3">
        <v>21.8</v>
      </c>
      <c r="L223" s="3">
        <v>0.26</v>
      </c>
    </row>
    <row r="224" spans="1:12" ht="15.75" customHeight="1">
      <c r="A224" s="3" t="s">
        <v>689</v>
      </c>
      <c r="B224" s="25">
        <v>46003</v>
      </c>
      <c r="C224" s="3" t="s">
        <v>41</v>
      </c>
      <c r="D224" s="3" t="s">
        <v>14</v>
      </c>
      <c r="E224" s="3" t="s">
        <v>15</v>
      </c>
      <c r="F224" s="3" t="s">
        <v>690</v>
      </c>
      <c r="G224" s="3" t="s">
        <v>691</v>
      </c>
      <c r="H224" s="3" t="s">
        <v>35</v>
      </c>
      <c r="I224" s="3">
        <v>118.96</v>
      </c>
      <c r="J224" s="3">
        <v>2</v>
      </c>
      <c r="K224" s="3">
        <v>13.06</v>
      </c>
      <c r="L224" s="3">
        <v>0.09</v>
      </c>
    </row>
    <row r="225" spans="1:12" ht="15.75" customHeight="1">
      <c r="A225" s="3" t="s">
        <v>692</v>
      </c>
      <c r="B225" s="25">
        <v>46002</v>
      </c>
      <c r="C225" s="3" t="s">
        <v>41</v>
      </c>
      <c r="D225" s="3" t="s">
        <v>14</v>
      </c>
      <c r="E225" s="3" t="s">
        <v>15</v>
      </c>
      <c r="F225" s="3" t="s">
        <v>693</v>
      </c>
      <c r="G225" s="3" t="s">
        <v>694</v>
      </c>
      <c r="H225" s="3" t="s">
        <v>35</v>
      </c>
      <c r="I225" s="3">
        <v>1136.49</v>
      </c>
      <c r="J225" s="3">
        <v>1</v>
      </c>
      <c r="K225" s="3">
        <v>441.09</v>
      </c>
      <c r="L225" s="3">
        <v>0.16</v>
      </c>
    </row>
    <row r="226" spans="1:12" ht="15.75" customHeight="1">
      <c r="A226" s="3" t="s">
        <v>695</v>
      </c>
      <c r="B226" s="25">
        <v>45921</v>
      </c>
      <c r="C226" s="3" t="s">
        <v>28</v>
      </c>
      <c r="D226" s="3" t="s">
        <v>32</v>
      </c>
      <c r="E226" s="3" t="s">
        <v>15</v>
      </c>
      <c r="F226" s="3" t="s">
        <v>696</v>
      </c>
      <c r="G226" s="3" t="s">
        <v>697</v>
      </c>
      <c r="H226" s="3" t="s">
        <v>35</v>
      </c>
      <c r="I226" s="3">
        <v>715.62</v>
      </c>
      <c r="J226" s="3">
        <v>8</v>
      </c>
      <c r="K226" s="3">
        <v>177.87</v>
      </c>
      <c r="L226" s="3">
        <v>0.12</v>
      </c>
    </row>
    <row r="227" spans="1:12" ht="15.75" customHeight="1">
      <c r="A227" s="3" t="s">
        <v>698</v>
      </c>
      <c r="B227" s="25">
        <v>45672</v>
      </c>
      <c r="C227" s="3" t="s">
        <v>28</v>
      </c>
      <c r="D227" s="3" t="s">
        <v>14</v>
      </c>
      <c r="E227" s="3" t="s">
        <v>15</v>
      </c>
      <c r="F227" s="3" t="s">
        <v>699</v>
      </c>
      <c r="G227" s="3" t="s">
        <v>700</v>
      </c>
      <c r="H227" s="3" t="s">
        <v>18</v>
      </c>
      <c r="I227" s="3">
        <v>890.72</v>
      </c>
      <c r="J227" s="3">
        <v>5</v>
      </c>
      <c r="K227" s="3">
        <v>298.42</v>
      </c>
      <c r="L227" s="3">
        <v>0.25</v>
      </c>
    </row>
    <row r="228" spans="1:12" ht="15.75" customHeight="1">
      <c r="A228" s="3" t="s">
        <v>701</v>
      </c>
      <c r="B228" s="25">
        <v>45720</v>
      </c>
      <c r="C228" s="3" t="s">
        <v>28</v>
      </c>
      <c r="D228" s="3" t="s">
        <v>32</v>
      </c>
      <c r="E228" s="3" t="s">
        <v>15</v>
      </c>
      <c r="F228" s="3" t="s">
        <v>702</v>
      </c>
      <c r="G228" s="3" t="s">
        <v>703</v>
      </c>
      <c r="H228" s="3" t="s">
        <v>35</v>
      </c>
      <c r="I228" s="3">
        <v>1977.2</v>
      </c>
      <c r="J228" s="3">
        <v>9</v>
      </c>
      <c r="K228" s="3">
        <v>459.31</v>
      </c>
      <c r="L228" s="3">
        <v>0.26</v>
      </c>
    </row>
    <row r="229" spans="1:12" ht="15.75" customHeight="1">
      <c r="A229" s="3" t="s">
        <v>704</v>
      </c>
      <c r="B229" s="25">
        <v>45853</v>
      </c>
      <c r="C229" s="3" t="s">
        <v>13</v>
      </c>
      <c r="D229" s="3" t="s">
        <v>21</v>
      </c>
      <c r="E229" s="3" t="s">
        <v>15</v>
      </c>
      <c r="F229" s="3" t="s">
        <v>705</v>
      </c>
      <c r="G229" s="3" t="s">
        <v>706</v>
      </c>
      <c r="H229" s="3" t="s">
        <v>35</v>
      </c>
      <c r="I229" s="3">
        <v>1409.45</v>
      </c>
      <c r="J229" s="3">
        <v>9</v>
      </c>
      <c r="K229" s="3">
        <v>246.85</v>
      </c>
      <c r="L229" s="3">
        <v>0.09</v>
      </c>
    </row>
    <row r="230" spans="1:12" ht="15.75" customHeight="1">
      <c r="A230" s="3" t="s">
        <v>707</v>
      </c>
      <c r="B230" s="25">
        <v>45894</v>
      </c>
      <c r="C230" s="3" t="s">
        <v>41</v>
      </c>
      <c r="D230" s="3" t="s">
        <v>32</v>
      </c>
      <c r="E230" s="3" t="s">
        <v>15</v>
      </c>
      <c r="F230" s="3" t="s">
        <v>708</v>
      </c>
      <c r="G230" s="3" t="s">
        <v>709</v>
      </c>
      <c r="H230" s="3" t="s">
        <v>18</v>
      </c>
      <c r="I230" s="3">
        <v>1207.28</v>
      </c>
      <c r="J230" s="3">
        <v>1</v>
      </c>
      <c r="K230" s="3">
        <v>275.97000000000003</v>
      </c>
      <c r="L230" s="3">
        <v>0.01</v>
      </c>
    </row>
    <row r="231" spans="1:12" ht="15.75" customHeight="1">
      <c r="A231" s="3" t="s">
        <v>710</v>
      </c>
      <c r="B231" s="25">
        <v>46004</v>
      </c>
      <c r="C231" s="3" t="s">
        <v>20</v>
      </c>
      <c r="D231" s="3" t="s">
        <v>21</v>
      </c>
      <c r="E231" s="3" t="s">
        <v>15</v>
      </c>
      <c r="F231" s="3" t="s">
        <v>711</v>
      </c>
      <c r="G231" s="3" t="s">
        <v>712</v>
      </c>
      <c r="H231" s="3" t="s">
        <v>39</v>
      </c>
      <c r="I231" s="3">
        <v>133.5</v>
      </c>
      <c r="J231" s="3">
        <v>5</v>
      </c>
      <c r="K231" s="3">
        <v>51.2</v>
      </c>
      <c r="L231" s="3">
        <v>0.15</v>
      </c>
    </row>
    <row r="232" spans="1:12" ht="15.75" customHeight="1">
      <c r="A232" s="3" t="s">
        <v>713</v>
      </c>
      <c r="B232" s="25">
        <v>45718</v>
      </c>
      <c r="C232" s="3" t="s">
        <v>28</v>
      </c>
      <c r="D232" s="3" t="s">
        <v>32</v>
      </c>
      <c r="E232" s="3" t="s">
        <v>15</v>
      </c>
      <c r="F232" s="3" t="s">
        <v>714</v>
      </c>
      <c r="G232" s="3" t="s">
        <v>715</v>
      </c>
      <c r="H232" s="3" t="s">
        <v>39</v>
      </c>
      <c r="I232" s="3">
        <v>877.08</v>
      </c>
      <c r="J232" s="3">
        <v>8</v>
      </c>
      <c r="K232" s="3">
        <v>132.87</v>
      </c>
      <c r="L232" s="3">
        <v>0.04</v>
      </c>
    </row>
    <row r="233" spans="1:12" ht="15.75" customHeight="1">
      <c r="A233" s="3" t="s">
        <v>716</v>
      </c>
      <c r="B233" s="25">
        <v>45703</v>
      </c>
      <c r="C233" s="3" t="s">
        <v>41</v>
      </c>
      <c r="D233" s="3" t="s">
        <v>14</v>
      </c>
      <c r="E233" s="3" t="s">
        <v>15</v>
      </c>
      <c r="F233" s="3" t="s">
        <v>717</v>
      </c>
      <c r="G233" s="3" t="s">
        <v>718</v>
      </c>
      <c r="H233" s="3" t="s">
        <v>35</v>
      </c>
      <c r="I233" s="3">
        <v>221.27</v>
      </c>
      <c r="J233" s="3">
        <v>1</v>
      </c>
      <c r="K233" s="3">
        <v>74.400000000000006</v>
      </c>
      <c r="L233" s="3">
        <v>0.25</v>
      </c>
    </row>
    <row r="234" spans="1:12" ht="15.75" customHeight="1">
      <c r="A234" s="3" t="s">
        <v>719</v>
      </c>
      <c r="B234" s="25">
        <v>45934</v>
      </c>
      <c r="C234" s="3" t="s">
        <v>28</v>
      </c>
      <c r="D234" s="3" t="s">
        <v>21</v>
      </c>
      <c r="E234" s="3" t="s">
        <v>15</v>
      </c>
      <c r="F234" s="3" t="s">
        <v>720</v>
      </c>
      <c r="G234" s="3" t="s">
        <v>721</v>
      </c>
      <c r="H234" s="3" t="s">
        <v>35</v>
      </c>
      <c r="I234" s="3">
        <v>1431.07</v>
      </c>
      <c r="J234" s="3">
        <v>5</v>
      </c>
      <c r="K234" s="3">
        <v>131.88</v>
      </c>
      <c r="L234" s="3">
        <v>0.21</v>
      </c>
    </row>
    <row r="235" spans="1:12" ht="15.75" customHeight="1">
      <c r="A235" s="3" t="s">
        <v>722</v>
      </c>
      <c r="B235" s="25">
        <v>45691</v>
      </c>
      <c r="C235" s="3" t="s">
        <v>28</v>
      </c>
      <c r="D235" s="3" t="s">
        <v>32</v>
      </c>
      <c r="E235" s="3" t="s">
        <v>15</v>
      </c>
      <c r="F235" s="3" t="s">
        <v>723</v>
      </c>
      <c r="G235" s="3" t="s">
        <v>724</v>
      </c>
      <c r="H235" s="3" t="s">
        <v>18</v>
      </c>
      <c r="I235" s="3">
        <v>687.31</v>
      </c>
      <c r="J235" s="3">
        <v>5</v>
      </c>
      <c r="K235" s="3">
        <v>246.9</v>
      </c>
      <c r="L235" s="3">
        <v>0.19</v>
      </c>
    </row>
    <row r="236" spans="1:12" ht="15.75" customHeight="1">
      <c r="A236" s="3" t="s">
        <v>725</v>
      </c>
      <c r="B236" s="25">
        <v>45720</v>
      </c>
      <c r="C236" s="3" t="s">
        <v>13</v>
      </c>
      <c r="D236" s="3" t="s">
        <v>21</v>
      </c>
      <c r="E236" s="3" t="s">
        <v>15</v>
      </c>
      <c r="F236" s="3" t="s">
        <v>726</v>
      </c>
      <c r="G236" s="3" t="s">
        <v>727</v>
      </c>
      <c r="H236" s="3" t="s">
        <v>18</v>
      </c>
      <c r="I236" s="3">
        <v>1148.22</v>
      </c>
      <c r="J236" s="3">
        <v>5</v>
      </c>
      <c r="K236" s="3">
        <v>88.54</v>
      </c>
      <c r="L236" s="3">
        <v>0.18</v>
      </c>
    </row>
    <row r="237" spans="1:12" ht="15.75" customHeight="1">
      <c r="A237" s="3" t="s">
        <v>728</v>
      </c>
      <c r="B237" s="25">
        <v>45950</v>
      </c>
      <c r="C237" s="3" t="s">
        <v>13</v>
      </c>
      <c r="D237" s="3" t="s">
        <v>14</v>
      </c>
      <c r="E237" s="3" t="s">
        <v>15</v>
      </c>
      <c r="F237" s="3" t="s">
        <v>729</v>
      </c>
      <c r="G237" s="3" t="s">
        <v>730</v>
      </c>
      <c r="H237" s="3" t="s">
        <v>18</v>
      </c>
      <c r="I237" s="3">
        <v>1821.91</v>
      </c>
      <c r="J237" s="3">
        <v>5</v>
      </c>
      <c r="K237" s="3">
        <v>206.47</v>
      </c>
      <c r="L237" s="3">
        <v>0.26</v>
      </c>
    </row>
    <row r="238" spans="1:12" ht="15.75" customHeight="1">
      <c r="A238" s="3" t="s">
        <v>731</v>
      </c>
      <c r="B238" s="25">
        <v>45790</v>
      </c>
      <c r="C238" s="3" t="s">
        <v>13</v>
      </c>
      <c r="D238" s="3" t="s">
        <v>32</v>
      </c>
      <c r="E238" s="3" t="s">
        <v>15</v>
      </c>
      <c r="F238" s="3" t="s">
        <v>732</v>
      </c>
      <c r="G238" s="3" t="s">
        <v>733</v>
      </c>
      <c r="H238" s="3" t="s">
        <v>18</v>
      </c>
      <c r="I238" s="3">
        <v>742.44</v>
      </c>
      <c r="J238" s="3">
        <v>4</v>
      </c>
      <c r="K238" s="3">
        <v>219.15</v>
      </c>
      <c r="L238" s="3">
        <v>0.11</v>
      </c>
    </row>
    <row r="239" spans="1:12" ht="15.75" customHeight="1">
      <c r="A239" s="3" t="s">
        <v>734</v>
      </c>
      <c r="B239" s="25">
        <v>45682</v>
      </c>
      <c r="C239" s="3" t="s">
        <v>20</v>
      </c>
      <c r="D239" s="3" t="s">
        <v>32</v>
      </c>
      <c r="E239" s="3" t="s">
        <v>15</v>
      </c>
      <c r="F239" s="3" t="s">
        <v>735</v>
      </c>
      <c r="G239" s="3" t="s">
        <v>736</v>
      </c>
      <c r="H239" s="3" t="s">
        <v>39</v>
      </c>
      <c r="I239" s="3">
        <v>1709.85</v>
      </c>
      <c r="J239" s="3">
        <v>9</v>
      </c>
      <c r="K239" s="3">
        <v>148.34</v>
      </c>
      <c r="L239" s="3">
        <v>0</v>
      </c>
    </row>
    <row r="240" spans="1:12" ht="15.75" customHeight="1">
      <c r="A240" s="3" t="s">
        <v>737</v>
      </c>
      <c r="B240" s="25">
        <v>45669</v>
      </c>
      <c r="C240" s="3" t="s">
        <v>20</v>
      </c>
      <c r="D240" s="3" t="s">
        <v>32</v>
      </c>
      <c r="E240" s="3" t="s">
        <v>15</v>
      </c>
      <c r="F240" s="3" t="s">
        <v>738</v>
      </c>
      <c r="G240" s="3" t="s">
        <v>739</v>
      </c>
      <c r="H240" s="3" t="s">
        <v>39</v>
      </c>
      <c r="I240" s="3">
        <v>639.70000000000005</v>
      </c>
      <c r="J240" s="3">
        <v>5</v>
      </c>
      <c r="K240" s="3">
        <v>71.83</v>
      </c>
      <c r="L240" s="3">
        <v>0.09</v>
      </c>
    </row>
    <row r="241" spans="1:12" ht="15.75" customHeight="1">
      <c r="A241" s="3" t="s">
        <v>740</v>
      </c>
      <c r="B241" s="25">
        <v>45934</v>
      </c>
      <c r="C241" s="3" t="s">
        <v>20</v>
      </c>
      <c r="D241" s="3" t="s">
        <v>21</v>
      </c>
      <c r="E241" s="3" t="s">
        <v>15</v>
      </c>
      <c r="F241" s="3" t="s">
        <v>741</v>
      </c>
      <c r="G241" s="3" t="s">
        <v>742</v>
      </c>
      <c r="H241" s="3" t="s">
        <v>18</v>
      </c>
      <c r="I241" s="3">
        <v>1493.18</v>
      </c>
      <c r="J241" s="3">
        <v>10</v>
      </c>
      <c r="K241" s="3">
        <v>326.08</v>
      </c>
      <c r="L241" s="3">
        <v>0.19</v>
      </c>
    </row>
    <row r="242" spans="1:12" ht="15.75" customHeight="1">
      <c r="A242" s="3" t="s">
        <v>743</v>
      </c>
      <c r="B242" s="25">
        <v>45781</v>
      </c>
      <c r="C242" s="3" t="s">
        <v>20</v>
      </c>
      <c r="D242" s="3" t="s">
        <v>21</v>
      </c>
      <c r="E242" s="3" t="s">
        <v>15</v>
      </c>
      <c r="F242" s="3" t="s">
        <v>744</v>
      </c>
      <c r="G242" s="3" t="s">
        <v>745</v>
      </c>
      <c r="H242" s="3" t="s">
        <v>35</v>
      </c>
      <c r="I242" s="3">
        <v>108.57</v>
      </c>
      <c r="J242" s="3">
        <v>8</v>
      </c>
      <c r="K242" s="3">
        <v>11.43</v>
      </c>
      <c r="L242" s="3">
        <v>0.11</v>
      </c>
    </row>
    <row r="243" spans="1:12" ht="15.75" customHeight="1">
      <c r="A243" s="3" t="s">
        <v>746</v>
      </c>
      <c r="B243" s="25">
        <v>45783</v>
      </c>
      <c r="C243" s="3" t="s">
        <v>13</v>
      </c>
      <c r="D243" s="3" t="s">
        <v>21</v>
      </c>
      <c r="E243" s="3" t="s">
        <v>15</v>
      </c>
      <c r="F243" s="3" t="s">
        <v>747</v>
      </c>
      <c r="G243" s="3" t="s">
        <v>748</v>
      </c>
      <c r="H243" s="3" t="s">
        <v>18</v>
      </c>
      <c r="I243" s="3">
        <v>1191.29</v>
      </c>
      <c r="J243" s="3">
        <v>6</v>
      </c>
      <c r="K243" s="3">
        <v>352.19</v>
      </c>
      <c r="L243" s="3">
        <v>0.17</v>
      </c>
    </row>
    <row r="244" spans="1:12" ht="15.75" customHeight="1">
      <c r="A244" s="3" t="s">
        <v>749</v>
      </c>
      <c r="B244" s="25">
        <v>45964</v>
      </c>
      <c r="C244" s="3" t="s">
        <v>20</v>
      </c>
      <c r="D244" s="3" t="s">
        <v>21</v>
      </c>
      <c r="E244" s="3" t="s">
        <v>15</v>
      </c>
      <c r="F244" s="3" t="s">
        <v>750</v>
      </c>
      <c r="G244" s="3" t="s">
        <v>751</v>
      </c>
      <c r="H244" s="3" t="s">
        <v>39</v>
      </c>
      <c r="I244" s="3">
        <v>905.44</v>
      </c>
      <c r="J244" s="3">
        <v>2</v>
      </c>
      <c r="K244" s="3">
        <v>172.2</v>
      </c>
      <c r="L244" s="3">
        <v>0.15</v>
      </c>
    </row>
    <row r="245" spans="1:12" ht="15.75" customHeight="1">
      <c r="A245" s="3" t="s">
        <v>752</v>
      </c>
      <c r="B245" s="25">
        <v>45978</v>
      </c>
      <c r="C245" s="3" t="s">
        <v>13</v>
      </c>
      <c r="D245" s="3" t="s">
        <v>21</v>
      </c>
      <c r="E245" s="3" t="s">
        <v>15</v>
      </c>
      <c r="F245" s="3" t="s">
        <v>753</v>
      </c>
      <c r="G245" s="3" t="s">
        <v>754</v>
      </c>
      <c r="H245" s="3" t="s">
        <v>35</v>
      </c>
      <c r="I245" s="3">
        <v>718.47</v>
      </c>
      <c r="J245" s="3">
        <v>10</v>
      </c>
      <c r="K245" s="3">
        <v>141.68</v>
      </c>
      <c r="L245" s="3">
        <v>0.05</v>
      </c>
    </row>
    <row r="246" spans="1:12" ht="15.75" customHeight="1">
      <c r="A246" s="3" t="s">
        <v>755</v>
      </c>
      <c r="B246" s="25">
        <v>45968</v>
      </c>
      <c r="C246" s="3" t="s">
        <v>20</v>
      </c>
      <c r="D246" s="3" t="s">
        <v>14</v>
      </c>
      <c r="E246" s="3" t="s">
        <v>15</v>
      </c>
      <c r="F246" s="3" t="s">
        <v>756</v>
      </c>
      <c r="G246" s="3" t="s">
        <v>757</v>
      </c>
      <c r="H246" s="3" t="s">
        <v>35</v>
      </c>
      <c r="I246" s="3">
        <v>700.57</v>
      </c>
      <c r="J246" s="3">
        <v>3</v>
      </c>
      <c r="K246" s="3">
        <v>144.38</v>
      </c>
      <c r="L246" s="3">
        <v>0.28000000000000003</v>
      </c>
    </row>
    <row r="247" spans="1:12" ht="15.75" customHeight="1">
      <c r="A247" s="3" t="s">
        <v>758</v>
      </c>
      <c r="B247" s="25">
        <v>45756</v>
      </c>
      <c r="C247" s="3" t="s">
        <v>20</v>
      </c>
      <c r="D247" s="3" t="s">
        <v>21</v>
      </c>
      <c r="E247" s="3" t="s">
        <v>15</v>
      </c>
      <c r="F247" s="3" t="s">
        <v>759</v>
      </c>
      <c r="G247" s="3" t="s">
        <v>760</v>
      </c>
      <c r="H247" s="3" t="s">
        <v>18</v>
      </c>
      <c r="I247" s="3">
        <v>1286.58</v>
      </c>
      <c r="J247" s="3">
        <v>3</v>
      </c>
      <c r="K247" s="3">
        <v>144.61000000000001</v>
      </c>
      <c r="L247" s="3">
        <v>0.03</v>
      </c>
    </row>
    <row r="248" spans="1:12" ht="15.75" customHeight="1">
      <c r="A248" s="3" t="s">
        <v>761</v>
      </c>
      <c r="B248" s="25">
        <v>45792</v>
      </c>
      <c r="C248" s="3" t="s">
        <v>28</v>
      </c>
      <c r="D248" s="3" t="s">
        <v>32</v>
      </c>
      <c r="E248" s="3" t="s">
        <v>15</v>
      </c>
      <c r="F248" s="3" t="s">
        <v>762</v>
      </c>
      <c r="G248" s="3" t="s">
        <v>763</v>
      </c>
      <c r="H248" s="3" t="s">
        <v>18</v>
      </c>
      <c r="I248" s="3">
        <v>940.01</v>
      </c>
      <c r="J248" s="3">
        <v>2</v>
      </c>
      <c r="K248" s="3">
        <v>216.92</v>
      </c>
      <c r="L248" s="3">
        <v>0.12</v>
      </c>
    </row>
    <row r="249" spans="1:12" ht="15.75" customHeight="1">
      <c r="A249" s="3" t="s">
        <v>764</v>
      </c>
      <c r="B249" s="25">
        <v>45743</v>
      </c>
      <c r="C249" s="3" t="s">
        <v>28</v>
      </c>
      <c r="D249" s="3" t="s">
        <v>14</v>
      </c>
      <c r="E249" s="3" t="s">
        <v>15</v>
      </c>
      <c r="F249" s="3" t="s">
        <v>765</v>
      </c>
      <c r="G249" s="3" t="s">
        <v>766</v>
      </c>
      <c r="H249" s="3" t="s">
        <v>35</v>
      </c>
      <c r="I249" s="3">
        <v>463.29</v>
      </c>
      <c r="J249" s="3">
        <v>5</v>
      </c>
      <c r="K249" s="3">
        <v>132.29</v>
      </c>
      <c r="L249" s="3">
        <v>0.09</v>
      </c>
    </row>
    <row r="250" spans="1:12" ht="15.75" customHeight="1">
      <c r="A250" s="3" t="s">
        <v>767</v>
      </c>
      <c r="B250" s="25">
        <v>45872</v>
      </c>
      <c r="C250" s="3" t="s">
        <v>13</v>
      </c>
      <c r="D250" s="3" t="s">
        <v>14</v>
      </c>
      <c r="E250" s="3" t="s">
        <v>15</v>
      </c>
      <c r="F250" s="3" t="s">
        <v>768</v>
      </c>
      <c r="G250" s="3" t="s">
        <v>769</v>
      </c>
      <c r="H250" s="3" t="s">
        <v>39</v>
      </c>
      <c r="I250" s="3">
        <v>1558.76</v>
      </c>
      <c r="J250" s="3">
        <v>3</v>
      </c>
      <c r="K250" s="3">
        <v>507.8</v>
      </c>
      <c r="L250" s="3">
        <v>0.1</v>
      </c>
    </row>
    <row r="251" spans="1:12" ht="15.75" customHeight="1">
      <c r="A251" s="3" t="s">
        <v>770</v>
      </c>
      <c r="B251" s="25">
        <v>45882</v>
      </c>
      <c r="C251" s="3" t="s">
        <v>41</v>
      </c>
      <c r="D251" s="3" t="s">
        <v>32</v>
      </c>
      <c r="E251" s="3" t="s">
        <v>15</v>
      </c>
      <c r="F251" s="3" t="s">
        <v>771</v>
      </c>
      <c r="G251" s="3" t="s">
        <v>772</v>
      </c>
      <c r="H251" s="3" t="s">
        <v>39</v>
      </c>
      <c r="I251" s="3">
        <v>1637.21</v>
      </c>
      <c r="J251" s="3">
        <v>3</v>
      </c>
      <c r="K251" s="3">
        <v>123.83</v>
      </c>
      <c r="L251" s="3">
        <v>0.19</v>
      </c>
    </row>
    <row r="252" spans="1:12" ht="15.75" customHeight="1">
      <c r="A252" s="3" t="s">
        <v>773</v>
      </c>
      <c r="B252" s="25">
        <v>45805</v>
      </c>
      <c r="C252" s="3" t="s">
        <v>41</v>
      </c>
      <c r="D252" s="3" t="s">
        <v>14</v>
      </c>
      <c r="E252" s="3" t="s">
        <v>15</v>
      </c>
      <c r="F252" s="3" t="s">
        <v>774</v>
      </c>
      <c r="G252" s="3" t="s">
        <v>775</v>
      </c>
      <c r="H252" s="3" t="s">
        <v>18</v>
      </c>
      <c r="I252" s="3">
        <v>370.23</v>
      </c>
      <c r="J252" s="3">
        <v>8</v>
      </c>
      <c r="K252" s="3">
        <v>87.81</v>
      </c>
      <c r="L252" s="3">
        <v>0.25</v>
      </c>
    </row>
    <row r="253" spans="1:12" ht="15.75" customHeight="1">
      <c r="A253" s="3" t="s">
        <v>776</v>
      </c>
      <c r="B253" s="25">
        <v>45956</v>
      </c>
      <c r="C253" s="3" t="s">
        <v>20</v>
      </c>
      <c r="D253" s="3" t="s">
        <v>21</v>
      </c>
      <c r="E253" s="3" t="s">
        <v>15</v>
      </c>
      <c r="F253" s="3" t="s">
        <v>777</v>
      </c>
      <c r="G253" s="3" t="s">
        <v>778</v>
      </c>
      <c r="H253" s="3" t="s">
        <v>39</v>
      </c>
      <c r="I253" s="3">
        <v>998.59</v>
      </c>
      <c r="J253" s="3">
        <v>10</v>
      </c>
      <c r="K253" s="3">
        <v>284.93</v>
      </c>
      <c r="L253" s="3">
        <v>0.19</v>
      </c>
    </row>
    <row r="254" spans="1:12" ht="15.75" customHeight="1">
      <c r="A254" s="3" t="s">
        <v>779</v>
      </c>
      <c r="B254" s="25">
        <v>45855</v>
      </c>
      <c r="C254" s="3" t="s">
        <v>13</v>
      </c>
      <c r="D254" s="3" t="s">
        <v>32</v>
      </c>
      <c r="E254" s="3" t="s">
        <v>15</v>
      </c>
      <c r="F254" s="3" t="s">
        <v>780</v>
      </c>
      <c r="G254" s="3" t="s">
        <v>781</v>
      </c>
      <c r="H254" s="3" t="s">
        <v>39</v>
      </c>
      <c r="I254" s="3">
        <v>649.97</v>
      </c>
      <c r="J254" s="3">
        <v>7</v>
      </c>
      <c r="K254" s="3">
        <v>221.33</v>
      </c>
      <c r="L254" s="3">
        <v>0.28000000000000003</v>
      </c>
    </row>
    <row r="255" spans="1:12" ht="15.75" customHeight="1">
      <c r="A255" s="3" t="s">
        <v>782</v>
      </c>
      <c r="B255" s="25">
        <v>45845</v>
      </c>
      <c r="C255" s="3" t="s">
        <v>28</v>
      </c>
      <c r="D255" s="3" t="s">
        <v>14</v>
      </c>
      <c r="E255" s="3" t="s">
        <v>15</v>
      </c>
      <c r="F255" s="3" t="s">
        <v>783</v>
      </c>
      <c r="G255" s="3" t="s">
        <v>784</v>
      </c>
      <c r="H255" s="3" t="s">
        <v>35</v>
      </c>
      <c r="I255" s="3">
        <v>1719.58</v>
      </c>
      <c r="J255" s="3">
        <v>6</v>
      </c>
      <c r="K255" s="3">
        <v>218.91</v>
      </c>
      <c r="L255" s="3">
        <v>0.15</v>
      </c>
    </row>
    <row r="256" spans="1:12" ht="15.75" customHeight="1">
      <c r="A256" s="3" t="s">
        <v>785</v>
      </c>
      <c r="B256" s="25">
        <v>45903</v>
      </c>
      <c r="C256" s="3" t="s">
        <v>41</v>
      </c>
      <c r="D256" s="3" t="s">
        <v>32</v>
      </c>
      <c r="E256" s="3" t="s">
        <v>15</v>
      </c>
      <c r="F256" s="3" t="s">
        <v>786</v>
      </c>
      <c r="G256" s="3" t="s">
        <v>787</v>
      </c>
      <c r="H256" s="3" t="s">
        <v>35</v>
      </c>
      <c r="I256" s="3">
        <v>1041.72</v>
      </c>
      <c r="J256" s="3">
        <v>8</v>
      </c>
      <c r="K256" s="3">
        <v>113.35</v>
      </c>
      <c r="L256" s="3">
        <v>0.19</v>
      </c>
    </row>
    <row r="257" spans="1:12" ht="15.75" customHeight="1">
      <c r="A257" s="3" t="s">
        <v>788</v>
      </c>
      <c r="B257" s="25">
        <v>45770</v>
      </c>
      <c r="C257" s="3" t="s">
        <v>20</v>
      </c>
      <c r="D257" s="3" t="s">
        <v>32</v>
      </c>
      <c r="E257" s="3" t="s">
        <v>15</v>
      </c>
      <c r="F257" s="3" t="s">
        <v>789</v>
      </c>
      <c r="G257" s="3" t="s">
        <v>790</v>
      </c>
      <c r="H257" s="3" t="s">
        <v>18</v>
      </c>
      <c r="I257" s="3">
        <v>245.46</v>
      </c>
      <c r="J257" s="3">
        <v>1</v>
      </c>
      <c r="K257" s="3">
        <v>85.34</v>
      </c>
      <c r="L257" s="3">
        <v>0.3</v>
      </c>
    </row>
    <row r="258" spans="1:12" ht="15.75" customHeight="1">
      <c r="A258" s="3" t="s">
        <v>791</v>
      </c>
      <c r="B258" s="25">
        <v>45885</v>
      </c>
      <c r="C258" s="3" t="s">
        <v>28</v>
      </c>
      <c r="D258" s="3" t="s">
        <v>14</v>
      </c>
      <c r="E258" s="3" t="s">
        <v>15</v>
      </c>
      <c r="F258" s="3" t="s">
        <v>792</v>
      </c>
      <c r="G258" s="3" t="s">
        <v>793</v>
      </c>
      <c r="H258" s="3" t="s">
        <v>35</v>
      </c>
      <c r="I258" s="3">
        <v>1428.86</v>
      </c>
      <c r="J258" s="3">
        <v>1</v>
      </c>
      <c r="K258" s="3">
        <v>348.86</v>
      </c>
      <c r="L258" s="3">
        <v>0.02</v>
      </c>
    </row>
    <row r="259" spans="1:12" ht="15.75" customHeight="1">
      <c r="A259" s="3" t="s">
        <v>794</v>
      </c>
      <c r="B259" s="25">
        <v>46015</v>
      </c>
      <c r="C259" s="3" t="s">
        <v>41</v>
      </c>
      <c r="D259" s="3" t="s">
        <v>21</v>
      </c>
      <c r="E259" s="3" t="s">
        <v>15</v>
      </c>
      <c r="F259" s="3" t="s">
        <v>795</v>
      </c>
      <c r="G259" s="3" t="s">
        <v>796</v>
      </c>
      <c r="H259" s="3" t="s">
        <v>39</v>
      </c>
      <c r="I259" s="3">
        <v>1743.12</v>
      </c>
      <c r="J259" s="3">
        <v>8</v>
      </c>
      <c r="K259" s="3">
        <v>108.73</v>
      </c>
      <c r="L259" s="3">
        <v>0.28000000000000003</v>
      </c>
    </row>
    <row r="260" spans="1:12" ht="15.75" customHeight="1">
      <c r="A260" s="3" t="s">
        <v>797</v>
      </c>
      <c r="B260" s="25">
        <v>45690</v>
      </c>
      <c r="C260" s="3" t="s">
        <v>20</v>
      </c>
      <c r="D260" s="3" t="s">
        <v>14</v>
      </c>
      <c r="E260" s="3" t="s">
        <v>15</v>
      </c>
      <c r="F260" s="3" t="s">
        <v>798</v>
      </c>
      <c r="G260" s="3" t="s">
        <v>799</v>
      </c>
      <c r="H260" s="3" t="s">
        <v>35</v>
      </c>
      <c r="I260" s="3">
        <v>805.06</v>
      </c>
      <c r="J260" s="3">
        <v>6</v>
      </c>
      <c r="K260" s="3">
        <v>202.78</v>
      </c>
      <c r="L260" s="3">
        <v>7.0000000000000007E-2</v>
      </c>
    </row>
    <row r="261" spans="1:12" ht="15.75" customHeight="1">
      <c r="A261" s="3" t="s">
        <v>800</v>
      </c>
      <c r="B261" s="25">
        <v>45984</v>
      </c>
      <c r="C261" s="3" t="s">
        <v>28</v>
      </c>
      <c r="D261" s="3" t="s">
        <v>32</v>
      </c>
      <c r="E261" s="3" t="s">
        <v>15</v>
      </c>
      <c r="F261" s="3" t="s">
        <v>801</v>
      </c>
      <c r="G261" s="3" t="s">
        <v>802</v>
      </c>
      <c r="H261" s="3" t="s">
        <v>35</v>
      </c>
      <c r="I261" s="3">
        <v>157.41999999999999</v>
      </c>
      <c r="J261" s="3">
        <v>9</v>
      </c>
      <c r="K261" s="3">
        <v>15.3</v>
      </c>
      <c r="L261" s="3">
        <v>0.03</v>
      </c>
    </row>
    <row r="262" spans="1:12" ht="15.75" customHeight="1">
      <c r="A262" s="3" t="s">
        <v>803</v>
      </c>
      <c r="B262" s="25">
        <v>45971</v>
      </c>
      <c r="C262" s="3" t="s">
        <v>28</v>
      </c>
      <c r="D262" s="3" t="s">
        <v>32</v>
      </c>
      <c r="E262" s="3" t="s">
        <v>15</v>
      </c>
      <c r="F262" s="3" t="s">
        <v>804</v>
      </c>
      <c r="G262" s="3" t="s">
        <v>805</v>
      </c>
      <c r="H262" s="3" t="s">
        <v>39</v>
      </c>
      <c r="I262" s="3">
        <v>1729.7</v>
      </c>
      <c r="J262" s="3">
        <v>3</v>
      </c>
      <c r="K262" s="3">
        <v>167.52</v>
      </c>
      <c r="L262" s="3">
        <v>0.27</v>
      </c>
    </row>
    <row r="263" spans="1:12" ht="15.75" customHeight="1">
      <c r="A263" s="3" t="s">
        <v>806</v>
      </c>
      <c r="B263" s="25">
        <v>45829</v>
      </c>
      <c r="C263" s="3" t="s">
        <v>13</v>
      </c>
      <c r="D263" s="3" t="s">
        <v>21</v>
      </c>
      <c r="E263" s="3" t="s">
        <v>15</v>
      </c>
      <c r="F263" s="3" t="s">
        <v>807</v>
      </c>
      <c r="G263" s="3" t="s">
        <v>808</v>
      </c>
      <c r="H263" s="3" t="s">
        <v>35</v>
      </c>
      <c r="I263" s="3">
        <v>754.44</v>
      </c>
      <c r="J263" s="3">
        <v>2</v>
      </c>
      <c r="K263" s="3">
        <v>181.51</v>
      </c>
      <c r="L263" s="3">
        <v>0.09</v>
      </c>
    </row>
    <row r="264" spans="1:12" ht="15.75" customHeight="1">
      <c r="A264" s="3" t="s">
        <v>809</v>
      </c>
      <c r="B264" s="25">
        <v>45835</v>
      </c>
      <c r="C264" s="3" t="s">
        <v>20</v>
      </c>
      <c r="D264" s="3" t="s">
        <v>21</v>
      </c>
      <c r="E264" s="3" t="s">
        <v>15</v>
      </c>
      <c r="F264" s="3" t="s">
        <v>810</v>
      </c>
      <c r="G264" s="3" t="s">
        <v>811</v>
      </c>
      <c r="H264" s="3" t="s">
        <v>18</v>
      </c>
      <c r="I264" s="3">
        <v>947.57</v>
      </c>
      <c r="J264" s="3">
        <v>2</v>
      </c>
      <c r="K264" s="3">
        <v>290.12</v>
      </c>
      <c r="L264" s="3">
        <v>0.2</v>
      </c>
    </row>
    <row r="265" spans="1:12" ht="15.75" customHeight="1">
      <c r="A265" s="3" t="s">
        <v>812</v>
      </c>
      <c r="B265" s="25">
        <v>45676</v>
      </c>
      <c r="C265" s="3" t="s">
        <v>13</v>
      </c>
      <c r="D265" s="3" t="s">
        <v>21</v>
      </c>
      <c r="E265" s="3" t="s">
        <v>15</v>
      </c>
      <c r="F265" s="3" t="s">
        <v>813</v>
      </c>
      <c r="G265" s="3" t="s">
        <v>814</v>
      </c>
      <c r="H265" s="3" t="s">
        <v>35</v>
      </c>
      <c r="I265" s="3">
        <v>119.24</v>
      </c>
      <c r="J265" s="3">
        <v>7</v>
      </c>
      <c r="K265" s="3">
        <v>38.68</v>
      </c>
      <c r="L265" s="3">
        <v>0.25</v>
      </c>
    </row>
    <row r="266" spans="1:12" ht="15.75" customHeight="1">
      <c r="A266" s="3" t="s">
        <v>815</v>
      </c>
      <c r="B266" s="25">
        <v>45796</v>
      </c>
      <c r="C266" s="3" t="s">
        <v>20</v>
      </c>
      <c r="D266" s="3" t="s">
        <v>14</v>
      </c>
      <c r="E266" s="3" t="s">
        <v>15</v>
      </c>
      <c r="F266" s="3" t="s">
        <v>816</v>
      </c>
      <c r="G266" s="3" t="s">
        <v>817</v>
      </c>
      <c r="H266" s="3" t="s">
        <v>18</v>
      </c>
      <c r="I266" s="3">
        <v>1388</v>
      </c>
      <c r="J266" s="3">
        <v>10</v>
      </c>
      <c r="K266" s="3">
        <v>176.2</v>
      </c>
      <c r="L266" s="3">
        <v>0.14000000000000001</v>
      </c>
    </row>
    <row r="267" spans="1:12" ht="15.75" customHeight="1">
      <c r="A267" s="3" t="s">
        <v>818</v>
      </c>
      <c r="B267" s="25">
        <v>45662</v>
      </c>
      <c r="C267" s="3" t="s">
        <v>41</v>
      </c>
      <c r="D267" s="3" t="s">
        <v>21</v>
      </c>
      <c r="E267" s="3" t="s">
        <v>15</v>
      </c>
      <c r="F267" s="3" t="s">
        <v>819</v>
      </c>
      <c r="G267" s="3" t="s">
        <v>820</v>
      </c>
      <c r="H267" s="3" t="s">
        <v>39</v>
      </c>
      <c r="I267" s="3">
        <v>977.09</v>
      </c>
      <c r="J267" s="3">
        <v>5</v>
      </c>
      <c r="K267" s="3">
        <v>85.93</v>
      </c>
      <c r="L267" s="3">
        <v>0.11</v>
      </c>
    </row>
    <row r="268" spans="1:12" ht="15.75" customHeight="1">
      <c r="A268" s="3" t="s">
        <v>821</v>
      </c>
      <c r="B268" s="25">
        <v>45671</v>
      </c>
      <c r="C268" s="3" t="s">
        <v>28</v>
      </c>
      <c r="D268" s="3" t="s">
        <v>14</v>
      </c>
      <c r="E268" s="3" t="s">
        <v>15</v>
      </c>
      <c r="F268" s="3" t="s">
        <v>822</v>
      </c>
      <c r="G268" s="3" t="s">
        <v>823</v>
      </c>
      <c r="H268" s="3" t="s">
        <v>35</v>
      </c>
      <c r="I268" s="3">
        <v>143.51</v>
      </c>
      <c r="J268" s="3">
        <v>9</v>
      </c>
      <c r="K268" s="3">
        <v>22.28</v>
      </c>
      <c r="L268" s="3">
        <v>0.1</v>
      </c>
    </row>
    <row r="269" spans="1:12" ht="15.75" customHeight="1">
      <c r="A269" s="3" t="s">
        <v>824</v>
      </c>
      <c r="B269" s="25">
        <v>45780</v>
      </c>
      <c r="C269" s="3" t="s">
        <v>41</v>
      </c>
      <c r="D269" s="3" t="s">
        <v>14</v>
      </c>
      <c r="E269" s="3" t="s">
        <v>15</v>
      </c>
      <c r="F269" s="3" t="s">
        <v>825</v>
      </c>
      <c r="G269" s="3" t="s">
        <v>826</v>
      </c>
      <c r="H269" s="3" t="s">
        <v>18</v>
      </c>
      <c r="I269" s="3">
        <v>159.16</v>
      </c>
      <c r="J269" s="3">
        <v>4</v>
      </c>
      <c r="K269" s="3">
        <v>46.44</v>
      </c>
      <c r="L269" s="3">
        <v>0.27</v>
      </c>
    </row>
    <row r="270" spans="1:12" ht="15.75" customHeight="1">
      <c r="A270" s="3" t="s">
        <v>827</v>
      </c>
      <c r="B270" s="25">
        <v>45810</v>
      </c>
      <c r="C270" s="3" t="s">
        <v>13</v>
      </c>
      <c r="D270" s="3" t="s">
        <v>21</v>
      </c>
      <c r="E270" s="3" t="s">
        <v>15</v>
      </c>
      <c r="F270" s="3" t="s">
        <v>828</v>
      </c>
      <c r="G270" s="3" t="s">
        <v>829</v>
      </c>
      <c r="H270" s="3" t="s">
        <v>18</v>
      </c>
      <c r="I270" s="3">
        <v>1103.1500000000001</v>
      </c>
      <c r="J270" s="3">
        <v>3</v>
      </c>
      <c r="K270" s="3">
        <v>136.11000000000001</v>
      </c>
      <c r="L270" s="3">
        <v>0.11</v>
      </c>
    </row>
    <row r="271" spans="1:12" ht="15.75" customHeight="1">
      <c r="A271" s="3" t="s">
        <v>830</v>
      </c>
      <c r="B271" s="25">
        <v>45831</v>
      </c>
      <c r="C271" s="3" t="s">
        <v>28</v>
      </c>
      <c r="D271" s="3" t="s">
        <v>32</v>
      </c>
      <c r="E271" s="3" t="s">
        <v>15</v>
      </c>
      <c r="F271" s="3" t="s">
        <v>831</v>
      </c>
      <c r="G271" s="3" t="s">
        <v>832</v>
      </c>
      <c r="H271" s="3" t="s">
        <v>39</v>
      </c>
      <c r="I271" s="3">
        <v>1125.6500000000001</v>
      </c>
      <c r="J271" s="3">
        <v>4</v>
      </c>
      <c r="K271" s="3">
        <v>316.87</v>
      </c>
      <c r="L271" s="3">
        <v>0.24</v>
      </c>
    </row>
    <row r="272" spans="1:12" ht="15.75" customHeight="1">
      <c r="A272" s="3" t="s">
        <v>833</v>
      </c>
      <c r="B272" s="25">
        <v>45927</v>
      </c>
      <c r="C272" s="3" t="s">
        <v>13</v>
      </c>
      <c r="D272" s="3" t="s">
        <v>14</v>
      </c>
      <c r="E272" s="3" t="s">
        <v>15</v>
      </c>
      <c r="F272" s="3" t="s">
        <v>834</v>
      </c>
      <c r="G272" s="3" t="s">
        <v>835</v>
      </c>
      <c r="H272" s="3" t="s">
        <v>39</v>
      </c>
      <c r="I272" s="3">
        <v>1582.69</v>
      </c>
      <c r="J272" s="3">
        <v>6</v>
      </c>
      <c r="K272" s="3">
        <v>129.41999999999999</v>
      </c>
      <c r="L272" s="3">
        <v>0</v>
      </c>
    </row>
    <row r="273" spans="1:12" ht="15.75" customHeight="1">
      <c r="A273" s="3" t="s">
        <v>836</v>
      </c>
      <c r="B273" s="25">
        <v>46010</v>
      </c>
      <c r="C273" s="3" t="s">
        <v>41</v>
      </c>
      <c r="D273" s="3" t="s">
        <v>32</v>
      </c>
      <c r="E273" s="3" t="s">
        <v>15</v>
      </c>
      <c r="F273" s="3" t="s">
        <v>837</v>
      </c>
      <c r="G273" s="3" t="s">
        <v>838</v>
      </c>
      <c r="H273" s="3" t="s">
        <v>39</v>
      </c>
      <c r="I273" s="3">
        <v>1536.31</v>
      </c>
      <c r="J273" s="3">
        <v>7</v>
      </c>
      <c r="K273" s="3">
        <v>538.41999999999996</v>
      </c>
      <c r="L273" s="3">
        <v>0.27</v>
      </c>
    </row>
    <row r="274" spans="1:12" ht="15.75" customHeight="1">
      <c r="A274" s="3" t="s">
        <v>839</v>
      </c>
      <c r="B274" s="25">
        <v>45829</v>
      </c>
      <c r="C274" s="3" t="s">
        <v>28</v>
      </c>
      <c r="D274" s="3" t="s">
        <v>32</v>
      </c>
      <c r="E274" s="3" t="s">
        <v>15</v>
      </c>
      <c r="F274" s="3" t="s">
        <v>840</v>
      </c>
      <c r="G274" s="3" t="s">
        <v>841</v>
      </c>
      <c r="H274" s="3" t="s">
        <v>18</v>
      </c>
      <c r="I274" s="3">
        <v>516.5</v>
      </c>
      <c r="J274" s="3">
        <v>5</v>
      </c>
      <c r="K274" s="3">
        <v>137.47999999999999</v>
      </c>
      <c r="L274" s="3">
        <v>0.23</v>
      </c>
    </row>
    <row r="275" spans="1:12" ht="15.75" customHeight="1">
      <c r="A275" s="3" t="s">
        <v>842</v>
      </c>
      <c r="B275" s="25">
        <v>45758</v>
      </c>
      <c r="C275" s="3" t="s">
        <v>28</v>
      </c>
      <c r="D275" s="3" t="s">
        <v>32</v>
      </c>
      <c r="E275" s="3" t="s">
        <v>15</v>
      </c>
      <c r="F275" s="3" t="s">
        <v>843</v>
      </c>
      <c r="G275" s="3" t="s">
        <v>844</v>
      </c>
      <c r="H275" s="3" t="s">
        <v>35</v>
      </c>
      <c r="I275" s="3">
        <v>1027.95</v>
      </c>
      <c r="J275" s="3">
        <v>4</v>
      </c>
      <c r="K275" s="3">
        <v>304.58999999999997</v>
      </c>
      <c r="L275" s="3">
        <v>0.1</v>
      </c>
    </row>
    <row r="276" spans="1:12" ht="15.75" customHeight="1">
      <c r="A276" s="3" t="s">
        <v>845</v>
      </c>
      <c r="B276" s="25">
        <v>46005</v>
      </c>
      <c r="C276" s="3" t="s">
        <v>13</v>
      </c>
      <c r="D276" s="3" t="s">
        <v>21</v>
      </c>
      <c r="E276" s="3" t="s">
        <v>15</v>
      </c>
      <c r="F276" s="3" t="s">
        <v>846</v>
      </c>
      <c r="G276" s="3" t="s">
        <v>847</v>
      </c>
      <c r="H276" s="3" t="s">
        <v>35</v>
      </c>
      <c r="I276" s="3">
        <v>1720.18</v>
      </c>
      <c r="J276" s="3">
        <v>6</v>
      </c>
      <c r="K276" s="3">
        <v>316.95999999999998</v>
      </c>
      <c r="L276" s="3">
        <v>0.26</v>
      </c>
    </row>
    <row r="277" spans="1:12" ht="15.75" customHeight="1">
      <c r="A277" s="3" t="s">
        <v>848</v>
      </c>
      <c r="B277" s="25">
        <v>45895</v>
      </c>
      <c r="C277" s="3" t="s">
        <v>28</v>
      </c>
      <c r="D277" s="3" t="s">
        <v>14</v>
      </c>
      <c r="E277" s="3" t="s">
        <v>15</v>
      </c>
      <c r="F277" s="3" t="s">
        <v>849</v>
      </c>
      <c r="G277" s="3" t="s">
        <v>850</v>
      </c>
      <c r="H277" s="3" t="s">
        <v>18</v>
      </c>
      <c r="I277" s="3">
        <v>788.54</v>
      </c>
      <c r="J277" s="3">
        <v>7</v>
      </c>
      <c r="K277" s="3">
        <v>281.13</v>
      </c>
      <c r="L277" s="3">
        <v>0.21</v>
      </c>
    </row>
    <row r="278" spans="1:12" ht="15.75" customHeight="1">
      <c r="A278" s="3" t="s">
        <v>851</v>
      </c>
      <c r="B278" s="25">
        <v>45718</v>
      </c>
      <c r="C278" s="3" t="s">
        <v>13</v>
      </c>
      <c r="D278" s="3" t="s">
        <v>21</v>
      </c>
      <c r="E278" s="3" t="s">
        <v>15</v>
      </c>
      <c r="F278" s="3" t="s">
        <v>852</v>
      </c>
      <c r="G278" s="3" t="s">
        <v>853</v>
      </c>
      <c r="H278" s="3" t="s">
        <v>35</v>
      </c>
      <c r="I278" s="3">
        <v>824.11</v>
      </c>
      <c r="J278" s="3">
        <v>3</v>
      </c>
      <c r="K278" s="3">
        <v>145.34</v>
      </c>
      <c r="L278" s="3">
        <v>0.06</v>
      </c>
    </row>
    <row r="279" spans="1:12" ht="15.75" customHeight="1">
      <c r="A279" s="3" t="s">
        <v>854</v>
      </c>
      <c r="B279" s="25">
        <v>45668</v>
      </c>
      <c r="C279" s="3" t="s">
        <v>13</v>
      </c>
      <c r="D279" s="3" t="s">
        <v>21</v>
      </c>
      <c r="E279" s="3" t="s">
        <v>15</v>
      </c>
      <c r="F279" s="3" t="s">
        <v>855</v>
      </c>
      <c r="G279" s="3" t="s">
        <v>856</v>
      </c>
      <c r="H279" s="3" t="s">
        <v>39</v>
      </c>
      <c r="I279" s="3">
        <v>1473.99</v>
      </c>
      <c r="J279" s="3">
        <v>2</v>
      </c>
      <c r="K279" s="3">
        <v>105.48</v>
      </c>
      <c r="L279" s="3">
        <v>0.18</v>
      </c>
    </row>
    <row r="280" spans="1:12" ht="15.75" customHeight="1">
      <c r="A280" s="3" t="s">
        <v>857</v>
      </c>
      <c r="B280" s="25">
        <v>45794</v>
      </c>
      <c r="C280" s="3" t="s">
        <v>28</v>
      </c>
      <c r="D280" s="3" t="s">
        <v>21</v>
      </c>
      <c r="E280" s="3" t="s">
        <v>15</v>
      </c>
      <c r="F280" s="3" t="s">
        <v>858</v>
      </c>
      <c r="G280" s="3" t="s">
        <v>859</v>
      </c>
      <c r="H280" s="3" t="s">
        <v>18</v>
      </c>
      <c r="I280" s="3">
        <v>1968.45</v>
      </c>
      <c r="J280" s="3">
        <v>7</v>
      </c>
      <c r="K280" s="3">
        <v>672.5</v>
      </c>
      <c r="L280" s="3">
        <v>0.1</v>
      </c>
    </row>
    <row r="281" spans="1:12" ht="15.75" customHeight="1">
      <c r="A281" s="3" t="s">
        <v>860</v>
      </c>
      <c r="B281" s="25">
        <v>45724</v>
      </c>
      <c r="C281" s="3" t="s">
        <v>28</v>
      </c>
      <c r="D281" s="3" t="s">
        <v>14</v>
      </c>
      <c r="E281" s="3" t="s">
        <v>15</v>
      </c>
      <c r="F281" s="3" t="s">
        <v>861</v>
      </c>
      <c r="G281" s="3" t="s">
        <v>862</v>
      </c>
      <c r="H281" s="3" t="s">
        <v>39</v>
      </c>
      <c r="I281" s="3">
        <v>1389.35</v>
      </c>
      <c r="J281" s="3">
        <v>1</v>
      </c>
      <c r="K281" s="3">
        <v>206.26</v>
      </c>
      <c r="L281" s="3">
        <v>0.23</v>
      </c>
    </row>
    <row r="282" spans="1:12" ht="15.75" customHeight="1">
      <c r="A282" s="3" t="s">
        <v>863</v>
      </c>
      <c r="B282" s="25">
        <v>45749</v>
      </c>
      <c r="C282" s="3" t="s">
        <v>28</v>
      </c>
      <c r="D282" s="3" t="s">
        <v>14</v>
      </c>
      <c r="E282" s="3" t="s">
        <v>15</v>
      </c>
      <c r="F282" s="3" t="s">
        <v>864</v>
      </c>
      <c r="G282" s="3" t="s">
        <v>865</v>
      </c>
      <c r="H282" s="3" t="s">
        <v>18</v>
      </c>
      <c r="I282" s="3">
        <v>1295.51</v>
      </c>
      <c r="J282" s="3">
        <v>8</v>
      </c>
      <c r="K282" s="3">
        <v>102.56</v>
      </c>
      <c r="L282" s="3">
        <v>0.06</v>
      </c>
    </row>
    <row r="283" spans="1:12" ht="15.75" customHeight="1">
      <c r="A283" s="3" t="s">
        <v>866</v>
      </c>
      <c r="B283" s="25">
        <v>45720</v>
      </c>
      <c r="C283" s="3" t="s">
        <v>41</v>
      </c>
      <c r="D283" s="3" t="s">
        <v>32</v>
      </c>
      <c r="E283" s="3" t="s">
        <v>15</v>
      </c>
      <c r="F283" s="3" t="s">
        <v>867</v>
      </c>
      <c r="G283" s="3" t="s">
        <v>868</v>
      </c>
      <c r="H283" s="3" t="s">
        <v>35</v>
      </c>
      <c r="I283" s="3">
        <v>983.68</v>
      </c>
      <c r="J283" s="3">
        <v>6</v>
      </c>
      <c r="K283" s="3">
        <v>60.81</v>
      </c>
      <c r="L283" s="3">
        <v>0.26</v>
      </c>
    </row>
    <row r="284" spans="1:12" ht="15.75" customHeight="1">
      <c r="A284" s="3" t="s">
        <v>869</v>
      </c>
      <c r="B284" s="25">
        <v>45861</v>
      </c>
      <c r="C284" s="3" t="s">
        <v>28</v>
      </c>
      <c r="D284" s="3" t="s">
        <v>14</v>
      </c>
      <c r="E284" s="3" t="s">
        <v>15</v>
      </c>
      <c r="F284" s="3" t="s">
        <v>870</v>
      </c>
      <c r="G284" s="3" t="s">
        <v>871</v>
      </c>
      <c r="H284" s="3" t="s">
        <v>39</v>
      </c>
      <c r="I284" s="3">
        <v>1144.33</v>
      </c>
      <c r="J284" s="3">
        <v>7</v>
      </c>
      <c r="K284" s="3">
        <v>288.48</v>
      </c>
      <c r="L284" s="3">
        <v>0.05</v>
      </c>
    </row>
    <row r="285" spans="1:12" ht="15.75" customHeight="1">
      <c r="A285" s="3" t="s">
        <v>872</v>
      </c>
      <c r="B285" s="25">
        <v>45728</v>
      </c>
      <c r="C285" s="3" t="s">
        <v>13</v>
      </c>
      <c r="D285" s="3" t="s">
        <v>14</v>
      </c>
      <c r="E285" s="3" t="s">
        <v>15</v>
      </c>
      <c r="F285" s="3" t="s">
        <v>873</v>
      </c>
      <c r="G285" s="3" t="s">
        <v>874</v>
      </c>
      <c r="H285" s="3" t="s">
        <v>39</v>
      </c>
      <c r="I285" s="3">
        <v>1186.7</v>
      </c>
      <c r="J285" s="3">
        <v>1</v>
      </c>
      <c r="K285" s="3">
        <v>287.36</v>
      </c>
      <c r="L285" s="3">
        <v>0.26</v>
      </c>
    </row>
    <row r="286" spans="1:12" ht="15.75" customHeight="1">
      <c r="A286" s="3" t="s">
        <v>875</v>
      </c>
      <c r="B286" s="25">
        <v>45821</v>
      </c>
      <c r="C286" s="3" t="s">
        <v>13</v>
      </c>
      <c r="D286" s="3" t="s">
        <v>21</v>
      </c>
      <c r="E286" s="3" t="s">
        <v>15</v>
      </c>
      <c r="F286" s="3" t="s">
        <v>876</v>
      </c>
      <c r="G286" s="3" t="s">
        <v>877</v>
      </c>
      <c r="H286" s="3" t="s">
        <v>18</v>
      </c>
      <c r="I286" s="3">
        <v>1109.45</v>
      </c>
      <c r="J286" s="3">
        <v>1</v>
      </c>
      <c r="K286" s="3">
        <v>240.09</v>
      </c>
      <c r="L286" s="3">
        <v>0.16</v>
      </c>
    </row>
    <row r="287" spans="1:12" ht="15.75" customHeight="1">
      <c r="A287" s="3" t="s">
        <v>878</v>
      </c>
      <c r="B287" s="25">
        <v>45784</v>
      </c>
      <c r="C287" s="3" t="s">
        <v>28</v>
      </c>
      <c r="D287" s="3" t="s">
        <v>14</v>
      </c>
      <c r="E287" s="3" t="s">
        <v>15</v>
      </c>
      <c r="F287" s="3" t="s">
        <v>879</v>
      </c>
      <c r="G287" s="3" t="s">
        <v>880</v>
      </c>
      <c r="H287" s="3" t="s">
        <v>35</v>
      </c>
      <c r="I287" s="3">
        <v>1372.15</v>
      </c>
      <c r="J287" s="3">
        <v>2</v>
      </c>
      <c r="K287" s="3">
        <v>284.16000000000003</v>
      </c>
      <c r="L287" s="3">
        <v>0.14000000000000001</v>
      </c>
    </row>
    <row r="288" spans="1:12" ht="15.75" customHeight="1">
      <c r="A288" s="3" t="s">
        <v>881</v>
      </c>
      <c r="B288" s="25">
        <v>45818</v>
      </c>
      <c r="C288" s="3" t="s">
        <v>41</v>
      </c>
      <c r="D288" s="3" t="s">
        <v>32</v>
      </c>
      <c r="E288" s="3" t="s">
        <v>15</v>
      </c>
      <c r="F288" s="3" t="s">
        <v>882</v>
      </c>
      <c r="G288" s="3" t="s">
        <v>883</v>
      </c>
      <c r="H288" s="3" t="s">
        <v>35</v>
      </c>
      <c r="I288" s="3">
        <v>1005.32</v>
      </c>
      <c r="J288" s="3">
        <v>1</v>
      </c>
      <c r="K288" s="3">
        <v>78.790000000000006</v>
      </c>
      <c r="L288" s="3">
        <v>0.25</v>
      </c>
    </row>
    <row r="289" spans="1:12" ht="15.75" customHeight="1">
      <c r="A289" s="3" t="s">
        <v>884</v>
      </c>
      <c r="B289" s="25">
        <v>45881</v>
      </c>
      <c r="C289" s="3" t="s">
        <v>13</v>
      </c>
      <c r="D289" s="3" t="s">
        <v>14</v>
      </c>
      <c r="E289" s="3" t="s">
        <v>15</v>
      </c>
      <c r="F289" s="3" t="s">
        <v>885</v>
      </c>
      <c r="G289" s="3" t="s">
        <v>886</v>
      </c>
      <c r="H289" s="3" t="s">
        <v>35</v>
      </c>
      <c r="I289" s="3">
        <v>640.55999999999995</v>
      </c>
      <c r="J289" s="3">
        <v>9</v>
      </c>
      <c r="K289" s="3">
        <v>137.06</v>
      </c>
      <c r="L289" s="3">
        <v>0.04</v>
      </c>
    </row>
    <row r="290" spans="1:12" ht="15.75" customHeight="1">
      <c r="A290" s="3" t="s">
        <v>887</v>
      </c>
      <c r="B290" s="25">
        <v>45704</v>
      </c>
      <c r="C290" s="3" t="s">
        <v>28</v>
      </c>
      <c r="D290" s="3" t="s">
        <v>14</v>
      </c>
      <c r="E290" s="3" t="s">
        <v>15</v>
      </c>
      <c r="F290" s="3" t="s">
        <v>888</v>
      </c>
      <c r="G290" s="3" t="s">
        <v>889</v>
      </c>
      <c r="H290" s="3" t="s">
        <v>39</v>
      </c>
      <c r="I290" s="3">
        <v>489.75</v>
      </c>
      <c r="J290" s="3">
        <v>7</v>
      </c>
      <c r="K290" s="3">
        <v>186.92</v>
      </c>
      <c r="L290" s="3">
        <v>0.16</v>
      </c>
    </row>
    <row r="291" spans="1:12" ht="15.75" customHeight="1">
      <c r="A291" s="3" t="s">
        <v>890</v>
      </c>
      <c r="B291" s="25">
        <v>45993</v>
      </c>
      <c r="C291" s="3" t="s">
        <v>13</v>
      </c>
      <c r="D291" s="3" t="s">
        <v>21</v>
      </c>
      <c r="E291" s="3" t="s">
        <v>15</v>
      </c>
      <c r="F291" s="3" t="s">
        <v>891</v>
      </c>
      <c r="G291" s="3" t="s">
        <v>892</v>
      </c>
      <c r="H291" s="3" t="s">
        <v>35</v>
      </c>
      <c r="I291" s="3">
        <v>1257.17</v>
      </c>
      <c r="J291" s="3">
        <v>4</v>
      </c>
      <c r="K291" s="3">
        <v>146.94999999999999</v>
      </c>
      <c r="L291" s="3">
        <v>0.2</v>
      </c>
    </row>
    <row r="292" spans="1:12" ht="15.75" customHeight="1">
      <c r="A292" s="3" t="s">
        <v>893</v>
      </c>
      <c r="B292" s="25">
        <v>45799</v>
      </c>
      <c r="C292" s="3" t="s">
        <v>20</v>
      </c>
      <c r="D292" s="3" t="s">
        <v>14</v>
      </c>
      <c r="E292" s="3" t="s">
        <v>15</v>
      </c>
      <c r="F292" s="3" t="s">
        <v>894</v>
      </c>
      <c r="G292" s="3" t="s">
        <v>895</v>
      </c>
      <c r="H292" s="3" t="s">
        <v>35</v>
      </c>
      <c r="I292" s="3">
        <v>837.96</v>
      </c>
      <c r="J292" s="3">
        <v>6</v>
      </c>
      <c r="K292" s="3">
        <v>233.62</v>
      </c>
      <c r="L292" s="3">
        <v>0.19</v>
      </c>
    </row>
    <row r="293" spans="1:12" ht="15.75" customHeight="1">
      <c r="A293" s="3" t="s">
        <v>896</v>
      </c>
      <c r="B293" s="25">
        <v>45828</v>
      </c>
      <c r="C293" s="3" t="s">
        <v>20</v>
      </c>
      <c r="D293" s="3" t="s">
        <v>21</v>
      </c>
      <c r="E293" s="3" t="s">
        <v>15</v>
      </c>
      <c r="F293" s="3" t="s">
        <v>897</v>
      </c>
      <c r="G293" s="3" t="s">
        <v>898</v>
      </c>
      <c r="H293" s="3" t="s">
        <v>35</v>
      </c>
      <c r="I293" s="3">
        <v>860.7</v>
      </c>
      <c r="J293" s="3">
        <v>1</v>
      </c>
      <c r="K293" s="3">
        <v>162.71</v>
      </c>
      <c r="L293" s="3">
        <v>0.04</v>
      </c>
    </row>
    <row r="294" spans="1:12" ht="15.75" customHeight="1">
      <c r="A294" s="3" t="s">
        <v>899</v>
      </c>
      <c r="B294" s="25">
        <v>45832</v>
      </c>
      <c r="C294" s="3" t="s">
        <v>13</v>
      </c>
      <c r="D294" s="3" t="s">
        <v>32</v>
      </c>
      <c r="E294" s="3" t="s">
        <v>15</v>
      </c>
      <c r="F294" s="3" t="s">
        <v>900</v>
      </c>
      <c r="G294" s="3" t="s">
        <v>901</v>
      </c>
      <c r="H294" s="3" t="s">
        <v>18</v>
      </c>
      <c r="I294" s="3">
        <v>441.54</v>
      </c>
      <c r="J294" s="3">
        <v>8</v>
      </c>
      <c r="K294" s="3">
        <v>76.69</v>
      </c>
      <c r="L294" s="3">
        <v>0.25</v>
      </c>
    </row>
    <row r="295" spans="1:12" ht="15.75" customHeight="1">
      <c r="A295" s="3" t="s">
        <v>902</v>
      </c>
      <c r="B295" s="25">
        <v>45895</v>
      </c>
      <c r="C295" s="3" t="s">
        <v>20</v>
      </c>
      <c r="D295" s="3" t="s">
        <v>32</v>
      </c>
      <c r="E295" s="3" t="s">
        <v>15</v>
      </c>
      <c r="F295" s="3" t="s">
        <v>903</v>
      </c>
      <c r="G295" s="3" t="s">
        <v>904</v>
      </c>
      <c r="H295" s="3" t="s">
        <v>18</v>
      </c>
      <c r="I295" s="3">
        <v>1813.17</v>
      </c>
      <c r="J295" s="3">
        <v>7</v>
      </c>
      <c r="K295" s="3">
        <v>579.05999999999995</v>
      </c>
      <c r="L295" s="3">
        <v>0.05</v>
      </c>
    </row>
    <row r="296" spans="1:12" ht="15.75" customHeight="1">
      <c r="A296" s="3" t="s">
        <v>905</v>
      </c>
      <c r="B296" s="25">
        <v>45736</v>
      </c>
      <c r="C296" s="3" t="s">
        <v>41</v>
      </c>
      <c r="D296" s="3" t="s">
        <v>21</v>
      </c>
      <c r="E296" s="3" t="s">
        <v>15</v>
      </c>
      <c r="F296" s="3" t="s">
        <v>906</v>
      </c>
      <c r="G296" s="3" t="s">
        <v>907</v>
      </c>
      <c r="H296" s="3" t="s">
        <v>39</v>
      </c>
      <c r="I296" s="3">
        <v>576.21</v>
      </c>
      <c r="J296" s="3">
        <v>6</v>
      </c>
      <c r="K296" s="3">
        <v>188.76</v>
      </c>
      <c r="L296" s="3">
        <v>0.16</v>
      </c>
    </row>
    <row r="297" spans="1:12" ht="15.75" customHeight="1">
      <c r="A297" s="3" t="s">
        <v>908</v>
      </c>
      <c r="B297" s="25">
        <v>46018</v>
      </c>
      <c r="C297" s="3" t="s">
        <v>20</v>
      </c>
      <c r="D297" s="3" t="s">
        <v>32</v>
      </c>
      <c r="E297" s="3" t="s">
        <v>15</v>
      </c>
      <c r="F297" s="3" t="s">
        <v>909</v>
      </c>
      <c r="G297" s="3" t="s">
        <v>910</v>
      </c>
      <c r="H297" s="3" t="s">
        <v>39</v>
      </c>
      <c r="I297" s="3">
        <v>1849.88</v>
      </c>
      <c r="J297" s="3">
        <v>2</v>
      </c>
      <c r="K297" s="3">
        <v>599.6</v>
      </c>
      <c r="L297" s="3">
        <v>0.14000000000000001</v>
      </c>
    </row>
    <row r="298" spans="1:12" ht="15.75" customHeight="1">
      <c r="A298" s="3" t="s">
        <v>911</v>
      </c>
      <c r="B298" s="25">
        <v>45904</v>
      </c>
      <c r="C298" s="3" t="s">
        <v>20</v>
      </c>
      <c r="D298" s="3" t="s">
        <v>32</v>
      </c>
      <c r="E298" s="3" t="s">
        <v>15</v>
      </c>
      <c r="F298" s="3" t="s">
        <v>912</v>
      </c>
      <c r="G298" s="3" t="s">
        <v>913</v>
      </c>
      <c r="H298" s="3" t="s">
        <v>39</v>
      </c>
      <c r="I298" s="3">
        <v>1076.32</v>
      </c>
      <c r="J298" s="3">
        <v>1</v>
      </c>
      <c r="K298" s="3">
        <v>186.72</v>
      </c>
      <c r="L298" s="3">
        <v>0.12</v>
      </c>
    </row>
    <row r="299" spans="1:12" ht="15.75" customHeight="1">
      <c r="A299" s="3" t="s">
        <v>914</v>
      </c>
      <c r="B299" s="25">
        <v>45888</v>
      </c>
      <c r="C299" s="3" t="s">
        <v>41</v>
      </c>
      <c r="D299" s="3" t="s">
        <v>21</v>
      </c>
      <c r="E299" s="3" t="s">
        <v>15</v>
      </c>
      <c r="F299" s="3" t="s">
        <v>915</v>
      </c>
      <c r="G299" s="3" t="s">
        <v>916</v>
      </c>
      <c r="H299" s="3" t="s">
        <v>39</v>
      </c>
      <c r="I299" s="3">
        <v>550.77</v>
      </c>
      <c r="J299" s="3">
        <v>2</v>
      </c>
      <c r="K299" s="3">
        <v>116.99</v>
      </c>
      <c r="L299" s="3">
        <v>0.23</v>
      </c>
    </row>
    <row r="300" spans="1:12" ht="15.75" customHeight="1">
      <c r="A300" s="3" t="s">
        <v>917</v>
      </c>
      <c r="B300" s="25">
        <v>45682</v>
      </c>
      <c r="C300" s="3" t="s">
        <v>13</v>
      </c>
      <c r="D300" s="3" t="s">
        <v>32</v>
      </c>
      <c r="E300" s="3" t="s">
        <v>15</v>
      </c>
      <c r="F300" s="3" t="s">
        <v>918</v>
      </c>
      <c r="G300" s="3" t="s">
        <v>919</v>
      </c>
      <c r="H300" s="3" t="s">
        <v>35</v>
      </c>
      <c r="I300" s="3">
        <v>1224.26</v>
      </c>
      <c r="J300" s="3">
        <v>4</v>
      </c>
      <c r="K300" s="3">
        <v>237.68</v>
      </c>
      <c r="L300" s="3">
        <v>0.17</v>
      </c>
    </row>
    <row r="301" spans="1:12" ht="15.75" customHeight="1">
      <c r="A301" s="3" t="s">
        <v>920</v>
      </c>
      <c r="B301" s="25">
        <v>45740</v>
      </c>
      <c r="C301" s="3" t="s">
        <v>13</v>
      </c>
      <c r="D301" s="3" t="s">
        <v>32</v>
      </c>
      <c r="E301" s="3" t="s">
        <v>15</v>
      </c>
      <c r="F301" s="3" t="s">
        <v>921</v>
      </c>
      <c r="G301" s="3" t="s">
        <v>922</v>
      </c>
      <c r="H301" s="3" t="s">
        <v>35</v>
      </c>
      <c r="I301" s="3">
        <v>746.88</v>
      </c>
      <c r="J301" s="3">
        <v>2</v>
      </c>
      <c r="K301" s="3">
        <v>278.83999999999997</v>
      </c>
      <c r="L301" s="3">
        <v>0.18</v>
      </c>
    </row>
    <row r="302" spans="1:12" ht="15.75" customHeight="1">
      <c r="A302" s="3" t="s">
        <v>923</v>
      </c>
      <c r="B302" s="25">
        <v>46010</v>
      </c>
      <c r="C302" s="3" t="s">
        <v>41</v>
      </c>
      <c r="D302" s="3" t="s">
        <v>14</v>
      </c>
      <c r="E302" s="3" t="s">
        <v>15</v>
      </c>
      <c r="F302" s="3" t="s">
        <v>924</v>
      </c>
      <c r="G302" s="3" t="s">
        <v>925</v>
      </c>
      <c r="H302" s="3" t="s">
        <v>39</v>
      </c>
      <c r="I302" s="3">
        <v>1987.93</v>
      </c>
      <c r="J302" s="3">
        <v>8</v>
      </c>
      <c r="K302" s="3">
        <v>627.9</v>
      </c>
      <c r="L302" s="3">
        <v>0.03</v>
      </c>
    </row>
    <row r="303" spans="1:12" ht="15.75" customHeight="1">
      <c r="A303" s="3" t="s">
        <v>926</v>
      </c>
      <c r="B303" s="25">
        <v>45949</v>
      </c>
      <c r="C303" s="3" t="s">
        <v>28</v>
      </c>
      <c r="D303" s="3" t="s">
        <v>32</v>
      </c>
      <c r="E303" s="3" t="s">
        <v>15</v>
      </c>
      <c r="F303" s="3" t="s">
        <v>927</v>
      </c>
      <c r="G303" s="3" t="s">
        <v>928</v>
      </c>
      <c r="H303" s="3" t="s">
        <v>35</v>
      </c>
      <c r="I303" s="3">
        <v>1212.71</v>
      </c>
      <c r="J303" s="3">
        <v>4</v>
      </c>
      <c r="K303" s="3">
        <v>460.52</v>
      </c>
      <c r="L303" s="3">
        <v>0.22</v>
      </c>
    </row>
    <row r="304" spans="1:12" ht="15.75" customHeight="1">
      <c r="A304" s="3" t="s">
        <v>929</v>
      </c>
      <c r="B304" s="25">
        <v>45788</v>
      </c>
      <c r="C304" s="3" t="s">
        <v>20</v>
      </c>
      <c r="D304" s="3" t="s">
        <v>21</v>
      </c>
      <c r="E304" s="3" t="s">
        <v>15</v>
      </c>
      <c r="F304" s="3" t="s">
        <v>930</v>
      </c>
      <c r="G304" s="3" t="s">
        <v>931</v>
      </c>
      <c r="H304" s="3" t="s">
        <v>39</v>
      </c>
      <c r="I304" s="3">
        <v>1060.56</v>
      </c>
      <c r="J304" s="3">
        <v>1</v>
      </c>
      <c r="K304" s="3">
        <v>139.59</v>
      </c>
      <c r="L304" s="3">
        <v>0.19</v>
      </c>
    </row>
    <row r="305" spans="1:12" ht="15.75" customHeight="1">
      <c r="A305" s="3" t="s">
        <v>932</v>
      </c>
      <c r="B305" s="25">
        <v>45792</v>
      </c>
      <c r="C305" s="3" t="s">
        <v>20</v>
      </c>
      <c r="D305" s="3" t="s">
        <v>21</v>
      </c>
      <c r="E305" s="3" t="s">
        <v>15</v>
      </c>
      <c r="F305" s="3" t="s">
        <v>933</v>
      </c>
      <c r="G305" s="3" t="s">
        <v>934</v>
      </c>
      <c r="H305" s="3" t="s">
        <v>39</v>
      </c>
      <c r="I305" s="3">
        <v>1179.6300000000001</v>
      </c>
      <c r="J305" s="3">
        <v>9</v>
      </c>
      <c r="K305" s="3">
        <v>83.97</v>
      </c>
      <c r="L305" s="3">
        <v>0.11</v>
      </c>
    </row>
    <row r="306" spans="1:12" ht="15.75" customHeight="1">
      <c r="A306" s="3" t="s">
        <v>935</v>
      </c>
      <c r="B306" s="25">
        <v>45801</v>
      </c>
      <c r="C306" s="3" t="s">
        <v>20</v>
      </c>
      <c r="D306" s="3" t="s">
        <v>21</v>
      </c>
      <c r="E306" s="3" t="s">
        <v>15</v>
      </c>
      <c r="F306" s="3" t="s">
        <v>936</v>
      </c>
      <c r="G306" s="3" t="s">
        <v>937</v>
      </c>
      <c r="H306" s="3" t="s">
        <v>35</v>
      </c>
      <c r="I306" s="3">
        <v>1364.11</v>
      </c>
      <c r="J306" s="3">
        <v>9</v>
      </c>
      <c r="K306" s="3">
        <v>526.84</v>
      </c>
      <c r="L306" s="3">
        <v>0.18</v>
      </c>
    </row>
    <row r="307" spans="1:12" ht="15.75" customHeight="1">
      <c r="A307" s="3" t="s">
        <v>938</v>
      </c>
      <c r="B307" s="25">
        <v>45860</v>
      </c>
      <c r="C307" s="3" t="s">
        <v>13</v>
      </c>
      <c r="D307" s="3" t="s">
        <v>32</v>
      </c>
      <c r="E307" s="3" t="s">
        <v>15</v>
      </c>
      <c r="F307" s="3" t="s">
        <v>939</v>
      </c>
      <c r="G307" s="3" t="s">
        <v>940</v>
      </c>
      <c r="H307" s="3" t="s">
        <v>18</v>
      </c>
      <c r="I307" s="3">
        <v>1032.83</v>
      </c>
      <c r="J307" s="3">
        <v>2</v>
      </c>
      <c r="K307" s="3">
        <v>247.92</v>
      </c>
      <c r="L307" s="3">
        <v>0.09</v>
      </c>
    </row>
    <row r="308" spans="1:12" ht="15.75" customHeight="1">
      <c r="A308" s="3" t="s">
        <v>941</v>
      </c>
      <c r="B308" s="25">
        <v>45939</v>
      </c>
      <c r="C308" s="3" t="s">
        <v>13</v>
      </c>
      <c r="D308" s="3" t="s">
        <v>32</v>
      </c>
      <c r="E308" s="3" t="s">
        <v>15</v>
      </c>
      <c r="F308" s="3" t="s">
        <v>942</v>
      </c>
      <c r="G308" s="3" t="s">
        <v>943</v>
      </c>
      <c r="H308" s="3" t="s">
        <v>39</v>
      </c>
      <c r="I308" s="3">
        <v>714.46</v>
      </c>
      <c r="J308" s="3">
        <v>3</v>
      </c>
      <c r="K308" s="3">
        <v>168.81</v>
      </c>
      <c r="L308" s="3">
        <v>0.14000000000000001</v>
      </c>
    </row>
    <row r="309" spans="1:12" ht="15.75" customHeight="1">
      <c r="A309" s="3" t="s">
        <v>944</v>
      </c>
      <c r="B309" s="25">
        <v>46017</v>
      </c>
      <c r="C309" s="3" t="s">
        <v>41</v>
      </c>
      <c r="D309" s="3" t="s">
        <v>21</v>
      </c>
      <c r="E309" s="3" t="s">
        <v>15</v>
      </c>
      <c r="F309" s="3" t="s">
        <v>945</v>
      </c>
      <c r="G309" s="3" t="s">
        <v>946</v>
      </c>
      <c r="H309" s="3" t="s">
        <v>39</v>
      </c>
      <c r="I309" s="3">
        <v>1837.03</v>
      </c>
      <c r="J309" s="3">
        <v>4</v>
      </c>
      <c r="K309" s="3">
        <v>726.12</v>
      </c>
      <c r="L309" s="3">
        <v>0.21</v>
      </c>
    </row>
    <row r="310" spans="1:12" ht="15.75" customHeight="1">
      <c r="A310" s="3" t="s">
        <v>947</v>
      </c>
      <c r="B310" s="25">
        <v>45663</v>
      </c>
      <c r="C310" s="3" t="s">
        <v>13</v>
      </c>
      <c r="D310" s="3" t="s">
        <v>14</v>
      </c>
      <c r="E310" s="3" t="s">
        <v>15</v>
      </c>
      <c r="F310" s="3" t="s">
        <v>948</v>
      </c>
      <c r="G310" s="3" t="s">
        <v>949</v>
      </c>
      <c r="H310" s="3" t="s">
        <v>35</v>
      </c>
      <c r="I310" s="3">
        <v>454.82</v>
      </c>
      <c r="J310" s="3">
        <v>1</v>
      </c>
      <c r="K310" s="3">
        <v>163.19999999999999</v>
      </c>
      <c r="L310" s="3">
        <v>0.23</v>
      </c>
    </row>
    <row r="311" spans="1:12" ht="15.75" customHeight="1">
      <c r="A311" s="3" t="s">
        <v>950</v>
      </c>
      <c r="B311" s="25">
        <v>45888</v>
      </c>
      <c r="C311" s="3" t="s">
        <v>28</v>
      </c>
      <c r="D311" s="3" t="s">
        <v>14</v>
      </c>
      <c r="E311" s="3" t="s">
        <v>15</v>
      </c>
      <c r="F311" s="3" t="s">
        <v>951</v>
      </c>
      <c r="G311" s="3" t="s">
        <v>952</v>
      </c>
      <c r="H311" s="3" t="s">
        <v>39</v>
      </c>
      <c r="I311" s="3">
        <v>1816.8</v>
      </c>
      <c r="J311" s="3">
        <v>5</v>
      </c>
      <c r="K311" s="3">
        <v>522.53</v>
      </c>
      <c r="L311" s="3">
        <v>0.13</v>
      </c>
    </row>
    <row r="312" spans="1:12" ht="15.75" customHeight="1">
      <c r="A312" s="3" t="s">
        <v>953</v>
      </c>
      <c r="B312" s="25">
        <v>45721</v>
      </c>
      <c r="C312" s="3" t="s">
        <v>41</v>
      </c>
      <c r="D312" s="3" t="s">
        <v>21</v>
      </c>
      <c r="E312" s="3" t="s">
        <v>15</v>
      </c>
      <c r="F312" s="3" t="s">
        <v>954</v>
      </c>
      <c r="G312" s="3" t="s">
        <v>955</v>
      </c>
      <c r="H312" s="3" t="s">
        <v>35</v>
      </c>
      <c r="I312" s="3">
        <v>1160.68</v>
      </c>
      <c r="J312" s="3">
        <v>6</v>
      </c>
      <c r="K312" s="3">
        <v>359.24</v>
      </c>
      <c r="L312" s="3">
        <v>0.28000000000000003</v>
      </c>
    </row>
    <row r="313" spans="1:12" ht="15.75" customHeight="1">
      <c r="A313" s="3" t="s">
        <v>956</v>
      </c>
      <c r="B313" s="25">
        <v>45933</v>
      </c>
      <c r="C313" s="3" t="s">
        <v>20</v>
      </c>
      <c r="D313" s="3" t="s">
        <v>14</v>
      </c>
      <c r="E313" s="3" t="s">
        <v>15</v>
      </c>
      <c r="F313" s="3" t="s">
        <v>957</v>
      </c>
      <c r="G313" s="3" t="s">
        <v>958</v>
      </c>
      <c r="H313" s="3" t="s">
        <v>35</v>
      </c>
      <c r="I313" s="3">
        <v>1758.73</v>
      </c>
      <c r="J313" s="3">
        <v>8</v>
      </c>
      <c r="K313" s="3">
        <v>210.05</v>
      </c>
      <c r="L313" s="3">
        <v>0.3</v>
      </c>
    </row>
    <row r="314" spans="1:12" ht="15.75" customHeight="1">
      <c r="A314" s="3" t="s">
        <v>959</v>
      </c>
      <c r="B314" s="25">
        <v>45800</v>
      </c>
      <c r="C314" s="3" t="s">
        <v>13</v>
      </c>
      <c r="D314" s="3" t="s">
        <v>32</v>
      </c>
      <c r="E314" s="3" t="s">
        <v>15</v>
      </c>
      <c r="F314" s="3" t="s">
        <v>960</v>
      </c>
      <c r="G314" s="3" t="s">
        <v>961</v>
      </c>
      <c r="H314" s="3" t="s">
        <v>39</v>
      </c>
      <c r="I314" s="3">
        <v>1335.75</v>
      </c>
      <c r="J314" s="3">
        <v>4</v>
      </c>
      <c r="K314" s="3">
        <v>467.26</v>
      </c>
      <c r="L314" s="3">
        <v>0.3</v>
      </c>
    </row>
    <row r="315" spans="1:12" ht="15.75" customHeight="1">
      <c r="A315" s="3" t="s">
        <v>962</v>
      </c>
      <c r="B315" s="25">
        <v>45924</v>
      </c>
      <c r="C315" s="3" t="s">
        <v>28</v>
      </c>
      <c r="D315" s="3" t="s">
        <v>32</v>
      </c>
      <c r="E315" s="3" t="s">
        <v>15</v>
      </c>
      <c r="F315" s="3" t="s">
        <v>963</v>
      </c>
      <c r="G315" s="3" t="s">
        <v>964</v>
      </c>
      <c r="H315" s="3" t="s">
        <v>35</v>
      </c>
      <c r="I315" s="3">
        <v>333.18</v>
      </c>
      <c r="J315" s="3">
        <v>7</v>
      </c>
      <c r="K315" s="3">
        <v>100.12</v>
      </c>
      <c r="L315" s="3">
        <v>0.03</v>
      </c>
    </row>
    <row r="316" spans="1:12" ht="15.75" customHeight="1">
      <c r="A316" s="3" t="s">
        <v>965</v>
      </c>
      <c r="B316" s="25">
        <v>45884</v>
      </c>
      <c r="C316" s="3" t="s">
        <v>13</v>
      </c>
      <c r="D316" s="3" t="s">
        <v>14</v>
      </c>
      <c r="E316" s="3" t="s">
        <v>15</v>
      </c>
      <c r="F316" s="3" t="s">
        <v>966</v>
      </c>
      <c r="G316" s="3" t="s">
        <v>967</v>
      </c>
      <c r="H316" s="3" t="s">
        <v>18</v>
      </c>
      <c r="I316" s="3">
        <v>678.44</v>
      </c>
      <c r="J316" s="3">
        <v>2</v>
      </c>
      <c r="K316" s="3">
        <v>245.36</v>
      </c>
      <c r="L316" s="3">
        <v>0.18</v>
      </c>
    </row>
    <row r="317" spans="1:12" ht="15.75" customHeight="1">
      <c r="A317" s="3" t="s">
        <v>968</v>
      </c>
      <c r="B317" s="25">
        <v>45714</v>
      </c>
      <c r="C317" s="3" t="s">
        <v>41</v>
      </c>
      <c r="D317" s="3" t="s">
        <v>14</v>
      </c>
      <c r="E317" s="3" t="s">
        <v>15</v>
      </c>
      <c r="F317" s="3" t="s">
        <v>969</v>
      </c>
      <c r="G317" s="3" t="s">
        <v>970</v>
      </c>
      <c r="H317" s="3" t="s">
        <v>39</v>
      </c>
      <c r="I317" s="3">
        <v>804.87</v>
      </c>
      <c r="J317" s="3">
        <v>2</v>
      </c>
      <c r="K317" s="3">
        <v>47.97</v>
      </c>
      <c r="L317" s="3">
        <v>0.1</v>
      </c>
    </row>
    <row r="318" spans="1:12" ht="15.75" customHeight="1">
      <c r="A318" s="3" t="s">
        <v>971</v>
      </c>
      <c r="B318" s="25">
        <v>45765</v>
      </c>
      <c r="C318" s="3" t="s">
        <v>20</v>
      </c>
      <c r="D318" s="3" t="s">
        <v>14</v>
      </c>
      <c r="E318" s="3" t="s">
        <v>15</v>
      </c>
      <c r="F318" s="3" t="s">
        <v>972</v>
      </c>
      <c r="G318" s="3" t="s">
        <v>973</v>
      </c>
      <c r="H318" s="3" t="s">
        <v>35</v>
      </c>
      <c r="I318" s="3">
        <v>1018.77</v>
      </c>
      <c r="J318" s="3">
        <v>4</v>
      </c>
      <c r="K318" s="3">
        <v>184.56</v>
      </c>
      <c r="L318" s="3">
        <v>7.0000000000000007E-2</v>
      </c>
    </row>
    <row r="319" spans="1:12" ht="15.75" customHeight="1">
      <c r="A319" s="3" t="s">
        <v>974</v>
      </c>
      <c r="B319" s="25">
        <v>45718</v>
      </c>
      <c r="C319" s="3" t="s">
        <v>20</v>
      </c>
      <c r="D319" s="3" t="s">
        <v>21</v>
      </c>
      <c r="E319" s="3" t="s">
        <v>15</v>
      </c>
      <c r="F319" s="3" t="s">
        <v>975</v>
      </c>
      <c r="G319" s="3" t="s">
        <v>976</v>
      </c>
      <c r="H319" s="3" t="s">
        <v>39</v>
      </c>
      <c r="I319" s="3">
        <v>1472.56</v>
      </c>
      <c r="J319" s="3">
        <v>7</v>
      </c>
      <c r="K319" s="3">
        <v>504.11</v>
      </c>
      <c r="L319" s="3">
        <v>0.06</v>
      </c>
    </row>
    <row r="320" spans="1:12" ht="15.75" customHeight="1">
      <c r="A320" s="3" t="s">
        <v>977</v>
      </c>
      <c r="B320" s="25">
        <v>45999</v>
      </c>
      <c r="C320" s="3" t="s">
        <v>20</v>
      </c>
      <c r="D320" s="3" t="s">
        <v>14</v>
      </c>
      <c r="E320" s="3" t="s">
        <v>15</v>
      </c>
      <c r="F320" s="3" t="s">
        <v>978</v>
      </c>
      <c r="G320" s="3" t="s">
        <v>979</v>
      </c>
      <c r="H320" s="3" t="s">
        <v>35</v>
      </c>
      <c r="I320" s="3">
        <v>1007.05</v>
      </c>
      <c r="J320" s="3">
        <v>6</v>
      </c>
      <c r="K320" s="3">
        <v>313.42</v>
      </c>
      <c r="L320" s="3">
        <v>0.28999999999999998</v>
      </c>
    </row>
    <row r="321" spans="1:12" ht="15.75" customHeight="1">
      <c r="A321" s="3" t="s">
        <v>980</v>
      </c>
      <c r="B321" s="25">
        <v>45928</v>
      </c>
      <c r="C321" s="3" t="s">
        <v>20</v>
      </c>
      <c r="D321" s="3" t="s">
        <v>21</v>
      </c>
      <c r="E321" s="3" t="s">
        <v>15</v>
      </c>
      <c r="F321" s="3" t="s">
        <v>981</v>
      </c>
      <c r="G321" s="3" t="s">
        <v>982</v>
      </c>
      <c r="H321" s="3" t="s">
        <v>35</v>
      </c>
      <c r="I321" s="3">
        <v>730.07</v>
      </c>
      <c r="J321" s="3">
        <v>5</v>
      </c>
      <c r="K321" s="3">
        <v>240.01</v>
      </c>
      <c r="L321" s="3">
        <v>0.1</v>
      </c>
    </row>
    <row r="322" spans="1:12" ht="15.75" customHeight="1">
      <c r="A322" s="3" t="s">
        <v>983</v>
      </c>
      <c r="B322" s="25">
        <v>45897</v>
      </c>
      <c r="C322" s="3" t="s">
        <v>20</v>
      </c>
      <c r="D322" s="3" t="s">
        <v>21</v>
      </c>
      <c r="E322" s="3" t="s">
        <v>15</v>
      </c>
      <c r="F322" s="3" t="s">
        <v>984</v>
      </c>
      <c r="G322" s="3" t="s">
        <v>985</v>
      </c>
      <c r="H322" s="3" t="s">
        <v>35</v>
      </c>
      <c r="I322" s="3">
        <v>1617.36</v>
      </c>
      <c r="J322" s="3">
        <v>9</v>
      </c>
      <c r="K322" s="3">
        <v>366.31</v>
      </c>
      <c r="L322" s="3">
        <v>0.25</v>
      </c>
    </row>
    <row r="323" spans="1:12" ht="15.75" customHeight="1">
      <c r="A323" s="3" t="s">
        <v>986</v>
      </c>
      <c r="B323" s="25">
        <v>45952</v>
      </c>
      <c r="C323" s="3" t="s">
        <v>20</v>
      </c>
      <c r="D323" s="3" t="s">
        <v>14</v>
      </c>
      <c r="E323" s="3" t="s">
        <v>15</v>
      </c>
      <c r="F323" s="3" t="s">
        <v>987</v>
      </c>
      <c r="G323" s="3" t="s">
        <v>988</v>
      </c>
      <c r="H323" s="3" t="s">
        <v>18</v>
      </c>
      <c r="I323" s="3">
        <v>1315.08</v>
      </c>
      <c r="J323" s="3">
        <v>6</v>
      </c>
      <c r="K323" s="3">
        <v>312.60000000000002</v>
      </c>
      <c r="L323" s="3">
        <v>0.03</v>
      </c>
    </row>
    <row r="324" spans="1:12" ht="15.75" customHeight="1">
      <c r="A324" s="3" t="s">
        <v>989</v>
      </c>
      <c r="B324" s="25">
        <v>45994</v>
      </c>
      <c r="C324" s="3" t="s">
        <v>28</v>
      </c>
      <c r="D324" s="3" t="s">
        <v>21</v>
      </c>
      <c r="E324" s="3" t="s">
        <v>15</v>
      </c>
      <c r="F324" s="3" t="s">
        <v>990</v>
      </c>
      <c r="G324" s="3" t="s">
        <v>991</v>
      </c>
      <c r="H324" s="3" t="s">
        <v>18</v>
      </c>
      <c r="I324" s="3">
        <v>811.73</v>
      </c>
      <c r="J324" s="3">
        <v>8</v>
      </c>
      <c r="K324" s="3">
        <v>49.91</v>
      </c>
      <c r="L324" s="3">
        <v>0</v>
      </c>
    </row>
    <row r="325" spans="1:12" ht="15.75" customHeight="1">
      <c r="A325" s="3" t="s">
        <v>992</v>
      </c>
      <c r="B325" s="25">
        <v>45968</v>
      </c>
      <c r="C325" s="3" t="s">
        <v>28</v>
      </c>
      <c r="D325" s="3" t="s">
        <v>14</v>
      </c>
      <c r="E325" s="3" t="s">
        <v>15</v>
      </c>
      <c r="F325" s="3" t="s">
        <v>993</v>
      </c>
      <c r="G325" s="3" t="s">
        <v>994</v>
      </c>
      <c r="H325" s="3" t="s">
        <v>18</v>
      </c>
      <c r="I325" s="3">
        <v>412.57</v>
      </c>
      <c r="J325" s="3">
        <v>2</v>
      </c>
      <c r="K325" s="3">
        <v>64.92</v>
      </c>
      <c r="L325" s="3">
        <v>0.13</v>
      </c>
    </row>
    <row r="326" spans="1:12" ht="15.75" customHeight="1">
      <c r="A326" s="3" t="s">
        <v>995</v>
      </c>
      <c r="B326" s="25">
        <v>45796</v>
      </c>
      <c r="C326" s="3" t="s">
        <v>20</v>
      </c>
      <c r="D326" s="3" t="s">
        <v>32</v>
      </c>
      <c r="E326" s="3" t="s">
        <v>15</v>
      </c>
      <c r="F326" s="3" t="s">
        <v>996</v>
      </c>
      <c r="G326" s="3" t="s">
        <v>997</v>
      </c>
      <c r="H326" s="3" t="s">
        <v>18</v>
      </c>
      <c r="I326" s="3">
        <v>850.03</v>
      </c>
      <c r="J326" s="3">
        <v>3</v>
      </c>
      <c r="K326" s="3">
        <v>94.69</v>
      </c>
      <c r="L326" s="3">
        <v>0.06</v>
      </c>
    </row>
    <row r="327" spans="1:12" ht="15.75" customHeight="1">
      <c r="A327" s="3" t="s">
        <v>998</v>
      </c>
      <c r="B327" s="25">
        <v>45729</v>
      </c>
      <c r="C327" s="3" t="s">
        <v>13</v>
      </c>
      <c r="D327" s="3" t="s">
        <v>21</v>
      </c>
      <c r="E327" s="3" t="s">
        <v>15</v>
      </c>
      <c r="F327" s="3" t="s">
        <v>999</v>
      </c>
      <c r="G327" s="3" t="s">
        <v>1000</v>
      </c>
      <c r="H327" s="3" t="s">
        <v>39</v>
      </c>
      <c r="I327" s="3">
        <v>1926.43</v>
      </c>
      <c r="J327" s="3">
        <v>10</v>
      </c>
      <c r="K327" s="3">
        <v>582.45000000000005</v>
      </c>
      <c r="L327" s="3">
        <v>0.18</v>
      </c>
    </row>
    <row r="328" spans="1:12" ht="15.75" customHeight="1">
      <c r="A328" s="3" t="s">
        <v>1001</v>
      </c>
      <c r="B328" s="25">
        <v>45690</v>
      </c>
      <c r="C328" s="3" t="s">
        <v>13</v>
      </c>
      <c r="D328" s="3" t="s">
        <v>21</v>
      </c>
      <c r="E328" s="3" t="s">
        <v>15</v>
      </c>
      <c r="F328" s="3" t="s">
        <v>1002</v>
      </c>
      <c r="G328" s="3" t="s">
        <v>1003</v>
      </c>
      <c r="H328" s="3" t="s">
        <v>18</v>
      </c>
      <c r="I328" s="3">
        <v>1324.12</v>
      </c>
      <c r="J328" s="3">
        <v>5</v>
      </c>
      <c r="K328" s="3">
        <v>74.8</v>
      </c>
      <c r="L328" s="3">
        <v>0.28000000000000003</v>
      </c>
    </row>
    <row r="329" spans="1:12" ht="15.75" customHeight="1">
      <c r="A329" s="3" t="s">
        <v>1004</v>
      </c>
      <c r="B329" s="25">
        <v>45681</v>
      </c>
      <c r="C329" s="3" t="s">
        <v>28</v>
      </c>
      <c r="D329" s="3" t="s">
        <v>14</v>
      </c>
      <c r="E329" s="3" t="s">
        <v>15</v>
      </c>
      <c r="F329" s="3" t="s">
        <v>1005</v>
      </c>
      <c r="G329" s="3" t="s">
        <v>1006</v>
      </c>
      <c r="H329" s="3" t="s">
        <v>35</v>
      </c>
      <c r="I329" s="3">
        <v>1474.1</v>
      </c>
      <c r="J329" s="3">
        <v>9</v>
      </c>
      <c r="K329" s="3">
        <v>150.21</v>
      </c>
      <c r="L329" s="3">
        <v>0</v>
      </c>
    </row>
    <row r="330" spans="1:12" ht="15.75" customHeight="1">
      <c r="A330" s="3" t="s">
        <v>1007</v>
      </c>
      <c r="B330" s="25">
        <v>45682</v>
      </c>
      <c r="C330" s="3" t="s">
        <v>28</v>
      </c>
      <c r="D330" s="3" t="s">
        <v>32</v>
      </c>
      <c r="E330" s="3" t="s">
        <v>15</v>
      </c>
      <c r="F330" s="3" t="s">
        <v>1008</v>
      </c>
      <c r="G330" s="3" t="s">
        <v>1009</v>
      </c>
      <c r="H330" s="3" t="s">
        <v>35</v>
      </c>
      <c r="I330" s="3">
        <v>1588.7</v>
      </c>
      <c r="J330" s="3">
        <v>5</v>
      </c>
      <c r="K330" s="3">
        <v>231.36</v>
      </c>
      <c r="L330" s="3">
        <v>0.22</v>
      </c>
    </row>
    <row r="331" spans="1:12" ht="15.75" customHeight="1">
      <c r="A331" s="3" t="s">
        <v>1010</v>
      </c>
      <c r="B331" s="25">
        <v>45693</v>
      </c>
      <c r="C331" s="3" t="s">
        <v>41</v>
      </c>
      <c r="D331" s="3" t="s">
        <v>21</v>
      </c>
      <c r="E331" s="3" t="s">
        <v>15</v>
      </c>
      <c r="F331" s="3" t="s">
        <v>1011</v>
      </c>
      <c r="G331" s="3" t="s">
        <v>1012</v>
      </c>
      <c r="H331" s="3" t="s">
        <v>35</v>
      </c>
      <c r="I331" s="3">
        <v>1509.6</v>
      </c>
      <c r="J331" s="3">
        <v>7</v>
      </c>
      <c r="K331" s="3">
        <v>281.69</v>
      </c>
      <c r="L331" s="3">
        <v>0.21</v>
      </c>
    </row>
    <row r="332" spans="1:12" ht="15.75" customHeight="1">
      <c r="A332" s="3" t="s">
        <v>1013</v>
      </c>
      <c r="B332" s="25">
        <v>45912</v>
      </c>
      <c r="C332" s="3" t="s">
        <v>41</v>
      </c>
      <c r="D332" s="3" t="s">
        <v>21</v>
      </c>
      <c r="E332" s="3" t="s">
        <v>15</v>
      </c>
      <c r="F332" s="3" t="s">
        <v>1014</v>
      </c>
      <c r="G332" s="3" t="s">
        <v>1015</v>
      </c>
      <c r="H332" s="3" t="s">
        <v>39</v>
      </c>
      <c r="I332" s="3">
        <v>827.64</v>
      </c>
      <c r="J332" s="3">
        <v>1</v>
      </c>
      <c r="K332" s="3">
        <v>265.58</v>
      </c>
      <c r="L332" s="3">
        <v>0.25</v>
      </c>
    </row>
    <row r="333" spans="1:12" ht="15.75" customHeight="1">
      <c r="A333" s="3" t="s">
        <v>1016</v>
      </c>
      <c r="B333" s="25">
        <v>45789</v>
      </c>
      <c r="C333" s="3" t="s">
        <v>13</v>
      </c>
      <c r="D333" s="3" t="s">
        <v>14</v>
      </c>
      <c r="E333" s="3" t="s">
        <v>15</v>
      </c>
      <c r="F333" s="3" t="s">
        <v>1017</v>
      </c>
      <c r="G333" s="3" t="s">
        <v>1018</v>
      </c>
      <c r="H333" s="3" t="s">
        <v>39</v>
      </c>
      <c r="I333" s="3">
        <v>1324.96</v>
      </c>
      <c r="J333" s="3">
        <v>6</v>
      </c>
      <c r="K333" s="3">
        <v>381.77</v>
      </c>
      <c r="L333" s="3">
        <v>0.11</v>
      </c>
    </row>
    <row r="334" spans="1:12" ht="15.75" customHeight="1">
      <c r="A334" s="3" t="s">
        <v>1019</v>
      </c>
      <c r="B334" s="25">
        <v>45986</v>
      </c>
      <c r="C334" s="3" t="s">
        <v>20</v>
      </c>
      <c r="D334" s="3" t="s">
        <v>32</v>
      </c>
      <c r="E334" s="3" t="s">
        <v>15</v>
      </c>
      <c r="F334" s="3" t="s">
        <v>1020</v>
      </c>
      <c r="G334" s="3" t="s">
        <v>1021</v>
      </c>
      <c r="H334" s="3" t="s">
        <v>35</v>
      </c>
      <c r="I334" s="3">
        <v>1830.95</v>
      </c>
      <c r="J334" s="3">
        <v>4</v>
      </c>
      <c r="K334" s="3">
        <v>536.85</v>
      </c>
      <c r="L334" s="3">
        <v>0.24</v>
      </c>
    </row>
    <row r="335" spans="1:12" ht="15.75" customHeight="1">
      <c r="A335" s="3" t="s">
        <v>1022</v>
      </c>
      <c r="B335" s="25">
        <v>46017</v>
      </c>
      <c r="C335" s="3" t="s">
        <v>13</v>
      </c>
      <c r="D335" s="3" t="s">
        <v>32</v>
      </c>
      <c r="E335" s="3" t="s">
        <v>15</v>
      </c>
      <c r="F335" s="3" t="s">
        <v>1023</v>
      </c>
      <c r="G335" s="3" t="s">
        <v>1024</v>
      </c>
      <c r="H335" s="3" t="s">
        <v>39</v>
      </c>
      <c r="I335" s="3">
        <v>871.91</v>
      </c>
      <c r="J335" s="3">
        <v>5</v>
      </c>
      <c r="K335" s="3">
        <v>315.79000000000002</v>
      </c>
      <c r="L335" s="3">
        <v>0.28999999999999998</v>
      </c>
    </row>
    <row r="336" spans="1:12" ht="15.75" customHeight="1">
      <c r="A336" s="3" t="s">
        <v>1025</v>
      </c>
      <c r="B336" s="25">
        <v>45715</v>
      </c>
      <c r="C336" s="3" t="s">
        <v>41</v>
      </c>
      <c r="D336" s="3" t="s">
        <v>21</v>
      </c>
      <c r="E336" s="3" t="s">
        <v>15</v>
      </c>
      <c r="F336" s="3" t="s">
        <v>1026</v>
      </c>
      <c r="G336" s="3" t="s">
        <v>1027</v>
      </c>
      <c r="H336" s="3" t="s">
        <v>39</v>
      </c>
      <c r="I336" s="3">
        <v>1101.6400000000001</v>
      </c>
      <c r="J336" s="3">
        <v>7</v>
      </c>
      <c r="K336" s="3">
        <v>269.13</v>
      </c>
      <c r="L336" s="3">
        <v>0.17</v>
      </c>
    </row>
    <row r="337" spans="1:12" ht="15.75" customHeight="1">
      <c r="A337" s="3" t="s">
        <v>1028</v>
      </c>
      <c r="B337" s="25">
        <v>45680</v>
      </c>
      <c r="C337" s="3" t="s">
        <v>41</v>
      </c>
      <c r="D337" s="3" t="s">
        <v>21</v>
      </c>
      <c r="E337" s="3" t="s">
        <v>15</v>
      </c>
      <c r="F337" s="3" t="s">
        <v>1029</v>
      </c>
      <c r="G337" s="3" t="s">
        <v>1030</v>
      </c>
      <c r="H337" s="3" t="s">
        <v>39</v>
      </c>
      <c r="I337" s="3">
        <v>602.12</v>
      </c>
      <c r="J337" s="3">
        <v>5</v>
      </c>
      <c r="K337" s="3">
        <v>34.340000000000003</v>
      </c>
      <c r="L337" s="3">
        <v>0.13</v>
      </c>
    </row>
    <row r="338" spans="1:12" ht="15.75" customHeight="1">
      <c r="A338" s="3" t="s">
        <v>1031</v>
      </c>
      <c r="B338" s="25">
        <v>45880</v>
      </c>
      <c r="C338" s="3" t="s">
        <v>28</v>
      </c>
      <c r="D338" s="3" t="s">
        <v>14</v>
      </c>
      <c r="E338" s="3" t="s">
        <v>15</v>
      </c>
      <c r="F338" s="3" t="s">
        <v>1032</v>
      </c>
      <c r="G338" s="3" t="s">
        <v>1033</v>
      </c>
      <c r="H338" s="3" t="s">
        <v>39</v>
      </c>
      <c r="I338" s="3">
        <v>1278.69</v>
      </c>
      <c r="J338" s="3">
        <v>1</v>
      </c>
      <c r="K338" s="3">
        <v>267.95999999999998</v>
      </c>
      <c r="L338" s="3">
        <v>0.09</v>
      </c>
    </row>
    <row r="339" spans="1:12" ht="15.75" customHeight="1">
      <c r="A339" s="3" t="s">
        <v>1034</v>
      </c>
      <c r="B339" s="25">
        <v>45921</v>
      </c>
      <c r="C339" s="3" t="s">
        <v>41</v>
      </c>
      <c r="D339" s="3" t="s">
        <v>14</v>
      </c>
      <c r="E339" s="3" t="s">
        <v>15</v>
      </c>
      <c r="F339" s="3" t="s">
        <v>1035</v>
      </c>
      <c r="G339" s="3" t="s">
        <v>1036</v>
      </c>
      <c r="H339" s="3" t="s">
        <v>18</v>
      </c>
      <c r="I339" s="3">
        <v>750.37</v>
      </c>
      <c r="J339" s="3">
        <v>8</v>
      </c>
      <c r="K339" s="3">
        <v>120.88</v>
      </c>
      <c r="L339" s="3">
        <v>0.13</v>
      </c>
    </row>
    <row r="340" spans="1:12" ht="15.75" customHeight="1">
      <c r="A340" s="3" t="s">
        <v>1037</v>
      </c>
      <c r="B340" s="25">
        <v>45986</v>
      </c>
      <c r="C340" s="3" t="s">
        <v>41</v>
      </c>
      <c r="D340" s="3" t="s">
        <v>14</v>
      </c>
      <c r="E340" s="3" t="s">
        <v>15</v>
      </c>
      <c r="F340" s="3" t="s">
        <v>1038</v>
      </c>
      <c r="G340" s="3" t="s">
        <v>1039</v>
      </c>
      <c r="H340" s="3" t="s">
        <v>35</v>
      </c>
      <c r="I340" s="3">
        <v>242.73</v>
      </c>
      <c r="J340" s="3">
        <v>8</v>
      </c>
      <c r="K340" s="3">
        <v>92.69</v>
      </c>
      <c r="L340" s="3">
        <v>0.16</v>
      </c>
    </row>
    <row r="341" spans="1:12" ht="15.75" customHeight="1">
      <c r="A341" s="3" t="s">
        <v>1040</v>
      </c>
      <c r="B341" s="25">
        <v>45803</v>
      </c>
      <c r="C341" s="3" t="s">
        <v>28</v>
      </c>
      <c r="D341" s="3" t="s">
        <v>21</v>
      </c>
      <c r="E341" s="3" t="s">
        <v>15</v>
      </c>
      <c r="F341" s="3" t="s">
        <v>1041</v>
      </c>
      <c r="G341" s="3" t="s">
        <v>1042</v>
      </c>
      <c r="H341" s="3" t="s">
        <v>39</v>
      </c>
      <c r="I341" s="3">
        <v>1081.57</v>
      </c>
      <c r="J341" s="3">
        <v>6</v>
      </c>
      <c r="K341" s="3">
        <v>224.95</v>
      </c>
      <c r="L341" s="3">
        <v>0.01</v>
      </c>
    </row>
    <row r="342" spans="1:12" ht="15.75" customHeight="1">
      <c r="A342" s="3" t="s">
        <v>1043</v>
      </c>
      <c r="B342" s="25">
        <v>45812</v>
      </c>
      <c r="C342" s="3" t="s">
        <v>28</v>
      </c>
      <c r="D342" s="3" t="s">
        <v>21</v>
      </c>
      <c r="E342" s="3" t="s">
        <v>15</v>
      </c>
      <c r="F342" s="3" t="s">
        <v>1044</v>
      </c>
      <c r="G342" s="3" t="s">
        <v>1045</v>
      </c>
      <c r="H342" s="3" t="s">
        <v>39</v>
      </c>
      <c r="I342" s="3">
        <v>349.34</v>
      </c>
      <c r="J342" s="3">
        <v>7</v>
      </c>
      <c r="K342" s="3">
        <v>19.11</v>
      </c>
      <c r="L342" s="3">
        <v>0.12</v>
      </c>
    </row>
    <row r="343" spans="1:12" ht="15.75" customHeight="1">
      <c r="A343" s="3" t="s">
        <v>1046</v>
      </c>
      <c r="B343" s="25">
        <v>45711</v>
      </c>
      <c r="C343" s="3" t="s">
        <v>20</v>
      </c>
      <c r="D343" s="3" t="s">
        <v>32</v>
      </c>
      <c r="E343" s="3" t="s">
        <v>15</v>
      </c>
      <c r="F343" s="3" t="s">
        <v>1047</v>
      </c>
      <c r="G343" s="3" t="s">
        <v>1048</v>
      </c>
      <c r="H343" s="3" t="s">
        <v>35</v>
      </c>
      <c r="I343" s="3">
        <v>629.49</v>
      </c>
      <c r="J343" s="3">
        <v>4</v>
      </c>
      <c r="K343" s="3">
        <v>243.63</v>
      </c>
      <c r="L343" s="3">
        <v>0.12</v>
      </c>
    </row>
    <row r="344" spans="1:12" ht="15.75" customHeight="1">
      <c r="A344" s="3" t="s">
        <v>1049</v>
      </c>
      <c r="B344" s="25">
        <v>45883</v>
      </c>
      <c r="C344" s="3" t="s">
        <v>28</v>
      </c>
      <c r="D344" s="3" t="s">
        <v>32</v>
      </c>
      <c r="E344" s="3" t="s">
        <v>15</v>
      </c>
      <c r="F344" s="3" t="s">
        <v>1050</v>
      </c>
      <c r="G344" s="3" t="s">
        <v>1051</v>
      </c>
      <c r="H344" s="3" t="s">
        <v>35</v>
      </c>
      <c r="I344" s="3">
        <v>107.22</v>
      </c>
      <c r="J344" s="3">
        <v>5</v>
      </c>
      <c r="K344" s="3">
        <v>26.18</v>
      </c>
      <c r="L344" s="3">
        <v>0.24</v>
      </c>
    </row>
    <row r="345" spans="1:12" ht="15.75" customHeight="1">
      <c r="A345" s="3" t="s">
        <v>1052</v>
      </c>
      <c r="B345" s="25">
        <v>45966</v>
      </c>
      <c r="C345" s="3" t="s">
        <v>20</v>
      </c>
      <c r="D345" s="3" t="s">
        <v>21</v>
      </c>
      <c r="E345" s="3" t="s">
        <v>15</v>
      </c>
      <c r="F345" s="3" t="s">
        <v>1053</v>
      </c>
      <c r="G345" s="3" t="s">
        <v>1054</v>
      </c>
      <c r="H345" s="3" t="s">
        <v>35</v>
      </c>
      <c r="I345" s="3">
        <v>1025.18</v>
      </c>
      <c r="J345" s="3">
        <v>3</v>
      </c>
      <c r="K345" s="3">
        <v>366.12</v>
      </c>
      <c r="L345" s="3">
        <v>0.02</v>
      </c>
    </row>
    <row r="346" spans="1:12" ht="15.75" customHeight="1">
      <c r="A346" s="3" t="s">
        <v>1055</v>
      </c>
      <c r="B346" s="25">
        <v>45674</v>
      </c>
      <c r="C346" s="3" t="s">
        <v>41</v>
      </c>
      <c r="D346" s="3" t="s">
        <v>21</v>
      </c>
      <c r="E346" s="3" t="s">
        <v>15</v>
      </c>
      <c r="F346" s="3" t="s">
        <v>1056</v>
      </c>
      <c r="G346" s="3" t="s">
        <v>1057</v>
      </c>
      <c r="H346" s="3" t="s">
        <v>18</v>
      </c>
      <c r="I346" s="3">
        <v>188.36</v>
      </c>
      <c r="J346" s="3">
        <v>4</v>
      </c>
      <c r="K346" s="3">
        <v>65.81</v>
      </c>
      <c r="L346" s="3">
        <v>0.28000000000000003</v>
      </c>
    </row>
    <row r="347" spans="1:12" ht="15.75" customHeight="1">
      <c r="A347" s="3" t="s">
        <v>1058</v>
      </c>
      <c r="B347" s="25">
        <v>45981</v>
      </c>
      <c r="C347" s="3" t="s">
        <v>28</v>
      </c>
      <c r="D347" s="3" t="s">
        <v>32</v>
      </c>
      <c r="E347" s="3" t="s">
        <v>15</v>
      </c>
      <c r="F347" s="3" t="s">
        <v>1059</v>
      </c>
      <c r="G347" s="3" t="s">
        <v>1060</v>
      </c>
      <c r="H347" s="3" t="s">
        <v>35</v>
      </c>
      <c r="I347" s="3">
        <v>1894.17</v>
      </c>
      <c r="J347" s="3">
        <v>5</v>
      </c>
      <c r="K347" s="3">
        <v>734.53</v>
      </c>
      <c r="L347" s="3">
        <v>0.17</v>
      </c>
    </row>
    <row r="348" spans="1:12" ht="15.75" customHeight="1">
      <c r="A348" s="3" t="s">
        <v>1061</v>
      </c>
      <c r="B348" s="25">
        <v>46006</v>
      </c>
      <c r="C348" s="3" t="s">
        <v>41</v>
      </c>
      <c r="D348" s="3" t="s">
        <v>32</v>
      </c>
      <c r="E348" s="3" t="s">
        <v>15</v>
      </c>
      <c r="F348" s="3" t="s">
        <v>1062</v>
      </c>
      <c r="G348" s="3" t="s">
        <v>1063</v>
      </c>
      <c r="H348" s="3" t="s">
        <v>39</v>
      </c>
      <c r="I348" s="3">
        <v>1390.04</v>
      </c>
      <c r="J348" s="3">
        <v>7</v>
      </c>
      <c r="K348" s="3">
        <v>358.54</v>
      </c>
      <c r="L348" s="3">
        <v>0.12</v>
      </c>
    </row>
    <row r="349" spans="1:12" ht="15.75" customHeight="1">
      <c r="A349" s="3" t="s">
        <v>1064</v>
      </c>
      <c r="B349" s="25">
        <v>45989</v>
      </c>
      <c r="C349" s="3" t="s">
        <v>13</v>
      </c>
      <c r="D349" s="3" t="s">
        <v>14</v>
      </c>
      <c r="E349" s="3" t="s">
        <v>15</v>
      </c>
      <c r="F349" s="3" t="s">
        <v>1065</v>
      </c>
      <c r="G349" s="3" t="s">
        <v>1066</v>
      </c>
      <c r="H349" s="3" t="s">
        <v>39</v>
      </c>
      <c r="I349" s="3">
        <v>570.75</v>
      </c>
      <c r="J349" s="3">
        <v>9</v>
      </c>
      <c r="K349" s="3">
        <v>97.68</v>
      </c>
      <c r="L349" s="3">
        <v>0.21</v>
      </c>
    </row>
    <row r="350" spans="1:12" ht="15.75" customHeight="1">
      <c r="A350" s="3" t="s">
        <v>1067</v>
      </c>
      <c r="B350" s="25">
        <v>45826</v>
      </c>
      <c r="C350" s="3" t="s">
        <v>41</v>
      </c>
      <c r="D350" s="3" t="s">
        <v>14</v>
      </c>
      <c r="E350" s="3" t="s">
        <v>15</v>
      </c>
      <c r="F350" s="3" t="s">
        <v>1068</v>
      </c>
      <c r="G350" s="3" t="s">
        <v>1069</v>
      </c>
      <c r="H350" s="3" t="s">
        <v>35</v>
      </c>
      <c r="I350" s="3">
        <v>1027.96</v>
      </c>
      <c r="J350" s="3">
        <v>2</v>
      </c>
      <c r="K350" s="3">
        <v>159.22999999999999</v>
      </c>
      <c r="L350" s="3">
        <v>0.26</v>
      </c>
    </row>
    <row r="351" spans="1:12" ht="15.75" customHeight="1">
      <c r="A351" s="3" t="s">
        <v>1070</v>
      </c>
      <c r="B351" s="25">
        <v>45822</v>
      </c>
      <c r="C351" s="3" t="s">
        <v>20</v>
      </c>
      <c r="D351" s="3" t="s">
        <v>14</v>
      </c>
      <c r="E351" s="3" t="s">
        <v>15</v>
      </c>
      <c r="F351" s="3" t="s">
        <v>1071</v>
      </c>
      <c r="G351" s="3" t="s">
        <v>1072</v>
      </c>
      <c r="H351" s="3" t="s">
        <v>18</v>
      </c>
      <c r="I351" s="3">
        <v>1167.3599999999999</v>
      </c>
      <c r="J351" s="3">
        <v>4</v>
      </c>
      <c r="K351" s="3">
        <v>175.96</v>
      </c>
      <c r="L351" s="3">
        <v>0.28000000000000003</v>
      </c>
    </row>
    <row r="352" spans="1:12" ht="15.75" customHeight="1">
      <c r="A352" s="3" t="s">
        <v>1073</v>
      </c>
      <c r="B352" s="25">
        <v>45999</v>
      </c>
      <c r="C352" s="3" t="s">
        <v>41</v>
      </c>
      <c r="D352" s="3" t="s">
        <v>32</v>
      </c>
      <c r="E352" s="3" t="s">
        <v>15</v>
      </c>
      <c r="F352" s="3" t="s">
        <v>1074</v>
      </c>
      <c r="G352" s="3" t="s">
        <v>1075</v>
      </c>
      <c r="H352" s="3" t="s">
        <v>39</v>
      </c>
      <c r="I352" s="3">
        <v>1639.23</v>
      </c>
      <c r="J352" s="3">
        <v>1</v>
      </c>
      <c r="K352" s="3">
        <v>229.31</v>
      </c>
      <c r="L352" s="3">
        <v>0.28000000000000003</v>
      </c>
    </row>
    <row r="353" spans="1:12" ht="15.75" customHeight="1">
      <c r="A353" s="3" t="s">
        <v>1076</v>
      </c>
      <c r="B353" s="25">
        <v>45980</v>
      </c>
      <c r="C353" s="3" t="s">
        <v>13</v>
      </c>
      <c r="D353" s="3" t="s">
        <v>32</v>
      </c>
      <c r="E353" s="3" t="s">
        <v>15</v>
      </c>
      <c r="F353" s="3" t="s">
        <v>1077</v>
      </c>
      <c r="G353" s="3" t="s">
        <v>1078</v>
      </c>
      <c r="H353" s="3" t="s">
        <v>39</v>
      </c>
      <c r="I353" s="3">
        <v>144.57</v>
      </c>
      <c r="J353" s="3">
        <v>1</v>
      </c>
      <c r="K353" s="3">
        <v>24.97</v>
      </c>
      <c r="L353" s="3">
        <v>0.23</v>
      </c>
    </row>
    <row r="354" spans="1:12" ht="15.75" customHeight="1">
      <c r="A354" s="3" t="s">
        <v>1079</v>
      </c>
      <c r="B354" s="25">
        <v>45814</v>
      </c>
      <c r="C354" s="3" t="s">
        <v>13</v>
      </c>
      <c r="D354" s="3" t="s">
        <v>21</v>
      </c>
      <c r="E354" s="3" t="s">
        <v>15</v>
      </c>
      <c r="F354" s="3" t="s">
        <v>1080</v>
      </c>
      <c r="G354" s="3" t="s">
        <v>1081</v>
      </c>
      <c r="H354" s="3" t="s">
        <v>35</v>
      </c>
      <c r="I354" s="3">
        <v>1397.17</v>
      </c>
      <c r="J354" s="3">
        <v>7</v>
      </c>
      <c r="K354" s="3">
        <v>548.08000000000004</v>
      </c>
      <c r="L354" s="3">
        <v>0</v>
      </c>
    </row>
    <row r="355" spans="1:12" ht="15.75" customHeight="1">
      <c r="A355" s="3" t="s">
        <v>1082</v>
      </c>
      <c r="B355" s="25">
        <v>46002</v>
      </c>
      <c r="C355" s="3" t="s">
        <v>41</v>
      </c>
      <c r="D355" s="3" t="s">
        <v>21</v>
      </c>
      <c r="E355" s="3" t="s">
        <v>15</v>
      </c>
      <c r="F355" s="3" t="s">
        <v>1083</v>
      </c>
      <c r="G355" s="3" t="s">
        <v>1084</v>
      </c>
      <c r="H355" s="3" t="s">
        <v>39</v>
      </c>
      <c r="I355" s="3">
        <v>307.08999999999997</v>
      </c>
      <c r="J355" s="3">
        <v>10</v>
      </c>
      <c r="K355" s="3">
        <v>15.99</v>
      </c>
      <c r="L355" s="3">
        <v>0.27</v>
      </c>
    </row>
    <row r="356" spans="1:12" ht="15.75" customHeight="1">
      <c r="A356" s="3" t="s">
        <v>1085</v>
      </c>
      <c r="B356" s="25">
        <v>45684</v>
      </c>
      <c r="C356" s="3" t="s">
        <v>20</v>
      </c>
      <c r="D356" s="3" t="s">
        <v>14</v>
      </c>
      <c r="E356" s="3" t="s">
        <v>15</v>
      </c>
      <c r="F356" s="3" t="s">
        <v>1086</v>
      </c>
      <c r="G356" s="3" t="s">
        <v>1087</v>
      </c>
      <c r="H356" s="3" t="s">
        <v>18</v>
      </c>
      <c r="I356" s="3">
        <v>1622.48</v>
      </c>
      <c r="J356" s="3">
        <v>8</v>
      </c>
      <c r="K356" s="3">
        <v>99.38</v>
      </c>
      <c r="L356" s="3">
        <v>7.0000000000000007E-2</v>
      </c>
    </row>
    <row r="357" spans="1:12" ht="15.75" customHeight="1">
      <c r="A357" s="3" t="s">
        <v>1088</v>
      </c>
      <c r="B357" s="25">
        <v>45911</v>
      </c>
      <c r="C357" s="3" t="s">
        <v>13</v>
      </c>
      <c r="D357" s="3" t="s">
        <v>14</v>
      </c>
      <c r="E357" s="3" t="s">
        <v>15</v>
      </c>
      <c r="F357" s="3" t="s">
        <v>1089</v>
      </c>
      <c r="G357" s="3" t="s">
        <v>1090</v>
      </c>
      <c r="H357" s="3" t="s">
        <v>39</v>
      </c>
      <c r="I357" s="3">
        <v>181.22</v>
      </c>
      <c r="J357" s="3">
        <v>1</v>
      </c>
      <c r="K357" s="3">
        <v>30.59</v>
      </c>
      <c r="L357" s="3">
        <v>0.12</v>
      </c>
    </row>
    <row r="358" spans="1:12" ht="15.75" customHeight="1">
      <c r="A358" s="3" t="s">
        <v>1091</v>
      </c>
      <c r="B358" s="25">
        <v>45758</v>
      </c>
      <c r="C358" s="3" t="s">
        <v>13</v>
      </c>
      <c r="D358" s="3" t="s">
        <v>32</v>
      </c>
      <c r="E358" s="3" t="s">
        <v>15</v>
      </c>
      <c r="F358" s="3" t="s">
        <v>1092</v>
      </c>
      <c r="G358" s="3" t="s">
        <v>1093</v>
      </c>
      <c r="H358" s="3" t="s">
        <v>39</v>
      </c>
      <c r="I358" s="3">
        <v>1951.69</v>
      </c>
      <c r="J358" s="3">
        <v>2</v>
      </c>
      <c r="K358" s="3">
        <v>333.71</v>
      </c>
      <c r="L358" s="3">
        <v>0.21</v>
      </c>
    </row>
    <row r="359" spans="1:12" ht="15.75" customHeight="1">
      <c r="A359" s="3" t="s">
        <v>1094</v>
      </c>
      <c r="B359" s="25">
        <v>45828</v>
      </c>
      <c r="C359" s="3" t="s">
        <v>28</v>
      </c>
      <c r="D359" s="3" t="s">
        <v>21</v>
      </c>
      <c r="E359" s="3" t="s">
        <v>15</v>
      </c>
      <c r="F359" s="3" t="s">
        <v>1095</v>
      </c>
      <c r="G359" s="3" t="s">
        <v>1096</v>
      </c>
      <c r="H359" s="3" t="s">
        <v>35</v>
      </c>
      <c r="I359" s="3">
        <v>1265.28</v>
      </c>
      <c r="J359" s="3">
        <v>9</v>
      </c>
      <c r="K359" s="3">
        <v>235.04</v>
      </c>
      <c r="L359" s="3">
        <v>0.26</v>
      </c>
    </row>
    <row r="360" spans="1:12" ht="15.75" customHeight="1">
      <c r="A360" s="3" t="s">
        <v>1097</v>
      </c>
      <c r="B360" s="25">
        <v>45950</v>
      </c>
      <c r="C360" s="3" t="s">
        <v>20</v>
      </c>
      <c r="D360" s="3" t="s">
        <v>32</v>
      </c>
      <c r="E360" s="3" t="s">
        <v>15</v>
      </c>
      <c r="F360" s="3" t="s">
        <v>1098</v>
      </c>
      <c r="G360" s="3" t="s">
        <v>1099</v>
      </c>
      <c r="H360" s="3" t="s">
        <v>39</v>
      </c>
      <c r="I360" s="3">
        <v>1572.78</v>
      </c>
      <c r="J360" s="3">
        <v>1</v>
      </c>
      <c r="K360" s="3">
        <v>456.48</v>
      </c>
      <c r="L360" s="3">
        <v>0.28999999999999998</v>
      </c>
    </row>
    <row r="361" spans="1:12" ht="15.75" customHeight="1">
      <c r="A361" s="3" t="s">
        <v>1100</v>
      </c>
      <c r="B361" s="25">
        <v>45665</v>
      </c>
      <c r="C361" s="3" t="s">
        <v>28</v>
      </c>
      <c r="D361" s="3" t="s">
        <v>14</v>
      </c>
      <c r="E361" s="3" t="s">
        <v>15</v>
      </c>
      <c r="F361" s="3" t="s">
        <v>1101</v>
      </c>
      <c r="G361" s="3" t="s">
        <v>1102</v>
      </c>
      <c r="H361" s="3" t="s">
        <v>39</v>
      </c>
      <c r="I361" s="3">
        <v>526.61</v>
      </c>
      <c r="J361" s="3">
        <v>8</v>
      </c>
      <c r="K361" s="3">
        <v>66.23</v>
      </c>
      <c r="L361" s="3">
        <v>0.02</v>
      </c>
    </row>
    <row r="362" spans="1:12" ht="15.75" customHeight="1">
      <c r="A362" s="3" t="s">
        <v>1103</v>
      </c>
      <c r="B362" s="25">
        <v>45984</v>
      </c>
      <c r="C362" s="3" t="s">
        <v>20</v>
      </c>
      <c r="D362" s="3" t="s">
        <v>14</v>
      </c>
      <c r="E362" s="3" t="s">
        <v>15</v>
      </c>
      <c r="F362" s="3" t="s">
        <v>1104</v>
      </c>
      <c r="G362" s="3" t="s">
        <v>1105</v>
      </c>
      <c r="H362" s="3" t="s">
        <v>39</v>
      </c>
      <c r="I362" s="3">
        <v>401.31</v>
      </c>
      <c r="J362" s="3">
        <v>7</v>
      </c>
      <c r="K362" s="3">
        <v>111.76</v>
      </c>
      <c r="L362" s="3">
        <v>0.23</v>
      </c>
    </row>
    <row r="363" spans="1:12" ht="15.75" customHeight="1">
      <c r="A363" s="3" t="s">
        <v>1106</v>
      </c>
      <c r="B363" s="25">
        <v>45802</v>
      </c>
      <c r="C363" s="3" t="s">
        <v>28</v>
      </c>
      <c r="D363" s="3" t="s">
        <v>21</v>
      </c>
      <c r="E363" s="3" t="s">
        <v>15</v>
      </c>
      <c r="F363" s="3" t="s">
        <v>1107</v>
      </c>
      <c r="G363" s="3" t="s">
        <v>1108</v>
      </c>
      <c r="H363" s="3" t="s">
        <v>35</v>
      </c>
      <c r="I363" s="3">
        <v>499.97</v>
      </c>
      <c r="J363" s="3">
        <v>5</v>
      </c>
      <c r="K363" s="3">
        <v>86.11</v>
      </c>
      <c r="L363" s="3">
        <v>0.27</v>
      </c>
    </row>
    <row r="364" spans="1:12" ht="15.75" customHeight="1">
      <c r="A364" s="3" t="s">
        <v>1109</v>
      </c>
      <c r="B364" s="25">
        <v>45852</v>
      </c>
      <c r="C364" s="3" t="s">
        <v>28</v>
      </c>
      <c r="D364" s="3" t="s">
        <v>32</v>
      </c>
      <c r="E364" s="3" t="s">
        <v>15</v>
      </c>
      <c r="F364" s="3" t="s">
        <v>1110</v>
      </c>
      <c r="G364" s="3" t="s">
        <v>1111</v>
      </c>
      <c r="H364" s="3" t="s">
        <v>35</v>
      </c>
      <c r="I364" s="3">
        <v>865.98</v>
      </c>
      <c r="J364" s="3">
        <v>2</v>
      </c>
      <c r="K364" s="3">
        <v>87.84</v>
      </c>
      <c r="L364" s="3">
        <v>0.03</v>
      </c>
    </row>
    <row r="365" spans="1:12" ht="15.75" customHeight="1">
      <c r="A365" s="3" t="s">
        <v>1112</v>
      </c>
      <c r="B365" s="25">
        <v>45718</v>
      </c>
      <c r="C365" s="3" t="s">
        <v>20</v>
      </c>
      <c r="D365" s="3" t="s">
        <v>21</v>
      </c>
      <c r="E365" s="3" t="s">
        <v>15</v>
      </c>
      <c r="F365" s="3" t="s">
        <v>1113</v>
      </c>
      <c r="G365" s="3" t="s">
        <v>1114</v>
      </c>
      <c r="H365" s="3" t="s">
        <v>39</v>
      </c>
      <c r="I365" s="3">
        <v>614.65</v>
      </c>
      <c r="J365" s="3">
        <v>6</v>
      </c>
      <c r="K365" s="3">
        <v>168.88</v>
      </c>
      <c r="L365" s="3">
        <v>0.21</v>
      </c>
    </row>
    <row r="366" spans="1:12" ht="15.75" customHeight="1">
      <c r="A366" s="3" t="s">
        <v>1115</v>
      </c>
      <c r="B366" s="25">
        <v>45860</v>
      </c>
      <c r="C366" s="3" t="s">
        <v>13</v>
      </c>
      <c r="D366" s="3" t="s">
        <v>32</v>
      </c>
      <c r="E366" s="3" t="s">
        <v>15</v>
      </c>
      <c r="F366" s="3" t="s">
        <v>1116</v>
      </c>
      <c r="G366" s="3" t="s">
        <v>1117</v>
      </c>
      <c r="H366" s="3" t="s">
        <v>35</v>
      </c>
      <c r="I366" s="3">
        <v>1443</v>
      </c>
      <c r="J366" s="3">
        <v>9</v>
      </c>
      <c r="K366" s="3">
        <v>365.46</v>
      </c>
      <c r="L366" s="3">
        <v>0.08</v>
      </c>
    </row>
    <row r="367" spans="1:12" ht="15.75" customHeight="1">
      <c r="A367" s="3" t="s">
        <v>1118</v>
      </c>
      <c r="B367" s="25">
        <v>45767</v>
      </c>
      <c r="C367" s="3" t="s">
        <v>13</v>
      </c>
      <c r="D367" s="3" t="s">
        <v>32</v>
      </c>
      <c r="E367" s="3" t="s">
        <v>15</v>
      </c>
      <c r="F367" s="3" t="s">
        <v>1119</v>
      </c>
      <c r="G367" s="3" t="s">
        <v>1120</v>
      </c>
      <c r="H367" s="3" t="s">
        <v>39</v>
      </c>
      <c r="I367" s="3">
        <v>552.4</v>
      </c>
      <c r="J367" s="3">
        <v>4</v>
      </c>
      <c r="K367" s="3">
        <v>29.11</v>
      </c>
      <c r="L367" s="3">
        <v>0.01</v>
      </c>
    </row>
    <row r="368" spans="1:12" ht="15.75" customHeight="1">
      <c r="A368" s="3" t="s">
        <v>1121</v>
      </c>
      <c r="B368" s="25">
        <v>45876</v>
      </c>
      <c r="C368" s="3" t="s">
        <v>28</v>
      </c>
      <c r="D368" s="3" t="s">
        <v>21</v>
      </c>
      <c r="E368" s="3" t="s">
        <v>15</v>
      </c>
      <c r="F368" s="3" t="s">
        <v>1122</v>
      </c>
      <c r="G368" s="3" t="s">
        <v>1123</v>
      </c>
      <c r="H368" s="3" t="s">
        <v>39</v>
      </c>
      <c r="I368" s="3">
        <v>1644.46</v>
      </c>
      <c r="J368" s="3">
        <v>4</v>
      </c>
      <c r="K368" s="3">
        <v>294.88</v>
      </c>
      <c r="L368" s="3">
        <v>0.14000000000000001</v>
      </c>
    </row>
    <row r="369" spans="1:12" ht="15.75" customHeight="1">
      <c r="A369" s="3" t="s">
        <v>1124</v>
      </c>
      <c r="B369" s="25">
        <v>45675</v>
      </c>
      <c r="C369" s="3" t="s">
        <v>28</v>
      </c>
      <c r="D369" s="3" t="s">
        <v>21</v>
      </c>
      <c r="E369" s="3" t="s">
        <v>15</v>
      </c>
      <c r="F369" s="3" t="s">
        <v>1125</v>
      </c>
      <c r="G369" s="3" t="s">
        <v>1126</v>
      </c>
      <c r="H369" s="3" t="s">
        <v>35</v>
      </c>
      <c r="I369" s="3">
        <v>1761.83</v>
      </c>
      <c r="J369" s="3">
        <v>6</v>
      </c>
      <c r="K369" s="3">
        <v>171.94</v>
      </c>
      <c r="L369" s="3">
        <v>0.01</v>
      </c>
    </row>
    <row r="370" spans="1:12" ht="15.75" customHeight="1">
      <c r="A370" s="3" t="s">
        <v>1127</v>
      </c>
      <c r="B370" s="25">
        <v>45788</v>
      </c>
      <c r="C370" s="3" t="s">
        <v>41</v>
      </c>
      <c r="D370" s="3" t="s">
        <v>32</v>
      </c>
      <c r="E370" s="3" t="s">
        <v>15</v>
      </c>
      <c r="F370" s="3" t="s">
        <v>1128</v>
      </c>
      <c r="G370" s="3" t="s">
        <v>1129</v>
      </c>
      <c r="H370" s="3" t="s">
        <v>18</v>
      </c>
      <c r="I370" s="3">
        <v>1954.83</v>
      </c>
      <c r="J370" s="3">
        <v>9</v>
      </c>
      <c r="K370" s="3">
        <v>717.68</v>
      </c>
      <c r="L370" s="3">
        <v>0.18</v>
      </c>
    </row>
    <row r="371" spans="1:12" ht="15.75" customHeight="1">
      <c r="A371" s="3" t="s">
        <v>1130</v>
      </c>
      <c r="B371" s="25">
        <v>45667</v>
      </c>
      <c r="C371" s="3" t="s">
        <v>28</v>
      </c>
      <c r="D371" s="3" t="s">
        <v>32</v>
      </c>
      <c r="E371" s="3" t="s">
        <v>15</v>
      </c>
      <c r="F371" s="3" t="s">
        <v>1131</v>
      </c>
      <c r="G371" s="3" t="s">
        <v>1132</v>
      </c>
      <c r="H371" s="3" t="s">
        <v>39</v>
      </c>
      <c r="I371" s="3">
        <v>1736.25</v>
      </c>
      <c r="J371" s="3">
        <v>7</v>
      </c>
      <c r="K371" s="3">
        <v>259.55</v>
      </c>
      <c r="L371" s="3">
        <v>0.01</v>
      </c>
    </row>
    <row r="372" spans="1:12" ht="15.75" customHeight="1">
      <c r="A372" s="3" t="s">
        <v>1133</v>
      </c>
      <c r="B372" s="25">
        <v>45943</v>
      </c>
      <c r="C372" s="3" t="s">
        <v>20</v>
      </c>
      <c r="D372" s="3" t="s">
        <v>21</v>
      </c>
      <c r="E372" s="3" t="s">
        <v>15</v>
      </c>
      <c r="F372" s="3" t="s">
        <v>1134</v>
      </c>
      <c r="G372" s="3" t="s">
        <v>1135</v>
      </c>
      <c r="H372" s="3" t="s">
        <v>35</v>
      </c>
      <c r="I372" s="3">
        <v>1733.33</v>
      </c>
      <c r="J372" s="3">
        <v>5</v>
      </c>
      <c r="K372" s="3">
        <v>151.26</v>
      </c>
      <c r="L372" s="3">
        <v>0.02</v>
      </c>
    </row>
    <row r="373" spans="1:12" ht="15.75" customHeight="1">
      <c r="A373" s="3" t="s">
        <v>1136</v>
      </c>
      <c r="B373" s="25">
        <v>45918</v>
      </c>
      <c r="C373" s="3" t="s">
        <v>20</v>
      </c>
      <c r="D373" s="3" t="s">
        <v>14</v>
      </c>
      <c r="E373" s="3" t="s">
        <v>15</v>
      </c>
      <c r="F373" s="3" t="s">
        <v>1137</v>
      </c>
      <c r="G373" s="3" t="s">
        <v>1138</v>
      </c>
      <c r="H373" s="3" t="s">
        <v>35</v>
      </c>
      <c r="I373" s="3">
        <v>1722.72</v>
      </c>
      <c r="J373" s="3">
        <v>5</v>
      </c>
      <c r="K373" s="3">
        <v>600.37</v>
      </c>
      <c r="L373" s="3">
        <v>0.18</v>
      </c>
    </row>
    <row r="374" spans="1:12" ht="15.75" customHeight="1">
      <c r="A374" s="3" t="s">
        <v>1139</v>
      </c>
      <c r="B374" s="25">
        <v>45951</v>
      </c>
      <c r="C374" s="3" t="s">
        <v>20</v>
      </c>
      <c r="D374" s="3" t="s">
        <v>21</v>
      </c>
      <c r="E374" s="3" t="s">
        <v>15</v>
      </c>
      <c r="F374" s="3" t="s">
        <v>1140</v>
      </c>
      <c r="G374" s="3" t="s">
        <v>1141</v>
      </c>
      <c r="H374" s="3" t="s">
        <v>39</v>
      </c>
      <c r="I374" s="3">
        <v>1852.07</v>
      </c>
      <c r="J374" s="3">
        <v>4</v>
      </c>
      <c r="K374" s="3">
        <v>656</v>
      </c>
      <c r="L374" s="3">
        <v>0.21</v>
      </c>
    </row>
    <row r="375" spans="1:12" ht="15.75" customHeight="1">
      <c r="A375" s="3" t="s">
        <v>1142</v>
      </c>
      <c r="B375" s="25">
        <v>45729</v>
      </c>
      <c r="C375" s="3" t="s">
        <v>20</v>
      </c>
      <c r="D375" s="3" t="s">
        <v>14</v>
      </c>
      <c r="E375" s="3" t="s">
        <v>15</v>
      </c>
      <c r="F375" s="3" t="s">
        <v>1143</v>
      </c>
      <c r="G375" s="3" t="s">
        <v>1144</v>
      </c>
      <c r="H375" s="3" t="s">
        <v>35</v>
      </c>
      <c r="I375" s="3">
        <v>126.92</v>
      </c>
      <c r="J375" s="3">
        <v>8</v>
      </c>
      <c r="K375" s="3">
        <v>28.47</v>
      </c>
      <c r="L375" s="3">
        <v>0.12</v>
      </c>
    </row>
    <row r="376" spans="1:12" ht="15.75" customHeight="1">
      <c r="A376" s="3" t="s">
        <v>1145</v>
      </c>
      <c r="B376" s="25">
        <v>46000</v>
      </c>
      <c r="C376" s="3" t="s">
        <v>20</v>
      </c>
      <c r="D376" s="3" t="s">
        <v>32</v>
      </c>
      <c r="E376" s="3" t="s">
        <v>15</v>
      </c>
      <c r="F376" s="3" t="s">
        <v>1146</v>
      </c>
      <c r="G376" s="3" t="s">
        <v>1147</v>
      </c>
      <c r="H376" s="3" t="s">
        <v>35</v>
      </c>
      <c r="I376" s="3">
        <v>1353.98</v>
      </c>
      <c r="J376" s="3">
        <v>3</v>
      </c>
      <c r="K376" s="3">
        <v>492.62</v>
      </c>
      <c r="L376" s="3">
        <v>0.19</v>
      </c>
    </row>
    <row r="377" spans="1:12" ht="15.75" customHeight="1">
      <c r="A377" s="3" t="s">
        <v>1148</v>
      </c>
      <c r="B377" s="25">
        <v>45971</v>
      </c>
      <c r="C377" s="3" t="s">
        <v>13</v>
      </c>
      <c r="D377" s="3" t="s">
        <v>21</v>
      </c>
      <c r="E377" s="3" t="s">
        <v>15</v>
      </c>
      <c r="F377" s="3" t="s">
        <v>1149</v>
      </c>
      <c r="G377" s="3" t="s">
        <v>1150</v>
      </c>
      <c r="H377" s="3" t="s">
        <v>18</v>
      </c>
      <c r="I377" s="3">
        <v>658.73</v>
      </c>
      <c r="J377" s="3">
        <v>6</v>
      </c>
      <c r="K377" s="3">
        <v>239.8</v>
      </c>
      <c r="L377" s="3">
        <v>0.08</v>
      </c>
    </row>
    <row r="378" spans="1:12" ht="15.75" customHeight="1">
      <c r="A378" s="3" t="s">
        <v>1151</v>
      </c>
      <c r="B378" s="25">
        <v>45771</v>
      </c>
      <c r="C378" s="3" t="s">
        <v>28</v>
      </c>
      <c r="D378" s="3" t="s">
        <v>14</v>
      </c>
      <c r="E378" s="3" t="s">
        <v>15</v>
      </c>
      <c r="F378" s="3" t="s">
        <v>1152</v>
      </c>
      <c r="G378" s="3" t="s">
        <v>1153</v>
      </c>
      <c r="H378" s="3" t="s">
        <v>18</v>
      </c>
      <c r="I378" s="3">
        <v>213.88</v>
      </c>
      <c r="J378" s="3">
        <v>5</v>
      </c>
      <c r="K378" s="3">
        <v>23.76</v>
      </c>
      <c r="L378" s="3">
        <v>0.19</v>
      </c>
    </row>
    <row r="379" spans="1:12" ht="15.75" customHeight="1">
      <c r="A379" s="3" t="s">
        <v>1154</v>
      </c>
      <c r="B379" s="25">
        <v>45696</v>
      </c>
      <c r="C379" s="3" t="s">
        <v>20</v>
      </c>
      <c r="D379" s="3" t="s">
        <v>14</v>
      </c>
      <c r="E379" s="3" t="s">
        <v>15</v>
      </c>
      <c r="F379" s="3" t="s">
        <v>1155</v>
      </c>
      <c r="G379" s="3" t="s">
        <v>1156</v>
      </c>
      <c r="H379" s="3" t="s">
        <v>35</v>
      </c>
      <c r="I379" s="3">
        <v>838.89</v>
      </c>
      <c r="J379" s="3">
        <v>4</v>
      </c>
      <c r="K379" s="3">
        <v>160.82</v>
      </c>
      <c r="L379" s="3">
        <v>0.16</v>
      </c>
    </row>
    <row r="380" spans="1:12" ht="15.75" customHeight="1">
      <c r="A380" s="3" t="s">
        <v>1157</v>
      </c>
      <c r="B380" s="25">
        <v>45926</v>
      </c>
      <c r="C380" s="3" t="s">
        <v>13</v>
      </c>
      <c r="D380" s="3" t="s">
        <v>21</v>
      </c>
      <c r="E380" s="3" t="s">
        <v>15</v>
      </c>
      <c r="F380" s="3" t="s">
        <v>1158</v>
      </c>
      <c r="G380" s="3" t="s">
        <v>1159</v>
      </c>
      <c r="H380" s="3" t="s">
        <v>35</v>
      </c>
      <c r="I380" s="3">
        <v>1879.41</v>
      </c>
      <c r="J380" s="3">
        <v>9</v>
      </c>
      <c r="K380" s="3">
        <v>666.22</v>
      </c>
      <c r="L380" s="3">
        <v>0.28999999999999998</v>
      </c>
    </row>
    <row r="381" spans="1:12" ht="15.75" customHeight="1">
      <c r="A381" s="3" t="s">
        <v>1160</v>
      </c>
      <c r="B381" s="25">
        <v>45812</v>
      </c>
      <c r="C381" s="3" t="s">
        <v>41</v>
      </c>
      <c r="D381" s="3" t="s">
        <v>21</v>
      </c>
      <c r="E381" s="3" t="s">
        <v>15</v>
      </c>
      <c r="F381" s="3" t="s">
        <v>1161</v>
      </c>
      <c r="G381" s="3" t="s">
        <v>1162</v>
      </c>
      <c r="H381" s="3" t="s">
        <v>18</v>
      </c>
      <c r="I381" s="3">
        <v>1831.81</v>
      </c>
      <c r="J381" s="3">
        <v>5</v>
      </c>
      <c r="K381" s="3">
        <v>615.88</v>
      </c>
      <c r="L381" s="3">
        <v>0.12</v>
      </c>
    </row>
    <row r="382" spans="1:12" ht="15.75" customHeight="1">
      <c r="A382" s="3" t="s">
        <v>1163</v>
      </c>
      <c r="B382" s="25">
        <v>46013</v>
      </c>
      <c r="C382" s="3" t="s">
        <v>13</v>
      </c>
      <c r="D382" s="3" t="s">
        <v>32</v>
      </c>
      <c r="E382" s="3" t="s">
        <v>15</v>
      </c>
      <c r="F382" s="3" t="s">
        <v>1164</v>
      </c>
      <c r="G382" s="3" t="s">
        <v>1165</v>
      </c>
      <c r="H382" s="3" t="s">
        <v>39</v>
      </c>
      <c r="I382" s="3">
        <v>756.81</v>
      </c>
      <c r="J382" s="3">
        <v>4</v>
      </c>
      <c r="K382" s="3">
        <v>287.33999999999997</v>
      </c>
      <c r="L382" s="3">
        <v>0.03</v>
      </c>
    </row>
    <row r="383" spans="1:12" ht="15.75" customHeight="1">
      <c r="A383" s="3" t="s">
        <v>1166</v>
      </c>
      <c r="B383" s="25">
        <v>45781</v>
      </c>
      <c r="C383" s="3" t="s">
        <v>20</v>
      </c>
      <c r="D383" s="3" t="s">
        <v>32</v>
      </c>
      <c r="E383" s="3" t="s">
        <v>15</v>
      </c>
      <c r="F383" s="3" t="s">
        <v>1167</v>
      </c>
      <c r="G383" s="3" t="s">
        <v>1168</v>
      </c>
      <c r="H383" s="3" t="s">
        <v>35</v>
      </c>
      <c r="I383" s="3">
        <v>229.02</v>
      </c>
      <c r="J383" s="3">
        <v>7</v>
      </c>
      <c r="K383" s="3">
        <v>62.65</v>
      </c>
      <c r="L383" s="3">
        <v>7.0000000000000007E-2</v>
      </c>
    </row>
    <row r="384" spans="1:12" ht="15.75" customHeight="1">
      <c r="A384" s="3" t="s">
        <v>1169</v>
      </c>
      <c r="B384" s="25">
        <v>45941</v>
      </c>
      <c r="C384" s="3" t="s">
        <v>41</v>
      </c>
      <c r="D384" s="3" t="s">
        <v>14</v>
      </c>
      <c r="E384" s="3" t="s">
        <v>15</v>
      </c>
      <c r="F384" s="3" t="s">
        <v>1170</v>
      </c>
      <c r="G384" s="3" t="s">
        <v>1171</v>
      </c>
      <c r="H384" s="3" t="s">
        <v>18</v>
      </c>
      <c r="I384" s="3">
        <v>1362.44</v>
      </c>
      <c r="J384" s="3">
        <v>9</v>
      </c>
      <c r="K384" s="3">
        <v>420.73</v>
      </c>
      <c r="L384" s="3">
        <v>0.05</v>
      </c>
    </row>
    <row r="385" spans="1:12" ht="15.75" customHeight="1">
      <c r="A385" s="3" t="s">
        <v>1172</v>
      </c>
      <c r="B385" s="25">
        <v>45854</v>
      </c>
      <c r="C385" s="3" t="s">
        <v>20</v>
      </c>
      <c r="D385" s="3" t="s">
        <v>32</v>
      </c>
      <c r="E385" s="3" t="s">
        <v>15</v>
      </c>
      <c r="F385" s="3" t="s">
        <v>1173</v>
      </c>
      <c r="G385" s="3" t="s">
        <v>1174</v>
      </c>
      <c r="H385" s="3" t="s">
        <v>18</v>
      </c>
      <c r="I385" s="3">
        <v>894.09</v>
      </c>
      <c r="J385" s="3">
        <v>6</v>
      </c>
      <c r="K385" s="3">
        <v>284.69</v>
      </c>
      <c r="L385" s="3">
        <v>0.15</v>
      </c>
    </row>
    <row r="386" spans="1:12" ht="15.75" customHeight="1">
      <c r="A386" s="3" t="s">
        <v>1175</v>
      </c>
      <c r="B386" s="25">
        <v>45768</v>
      </c>
      <c r="C386" s="3" t="s">
        <v>13</v>
      </c>
      <c r="D386" s="3" t="s">
        <v>21</v>
      </c>
      <c r="E386" s="3" t="s">
        <v>15</v>
      </c>
      <c r="F386" s="3" t="s">
        <v>1176</v>
      </c>
      <c r="G386" s="3" t="s">
        <v>1177</v>
      </c>
      <c r="H386" s="3" t="s">
        <v>18</v>
      </c>
      <c r="I386" s="3">
        <v>1303.0999999999999</v>
      </c>
      <c r="J386" s="3">
        <v>4</v>
      </c>
      <c r="K386" s="3">
        <v>165.57</v>
      </c>
      <c r="L386" s="3">
        <v>0.26</v>
      </c>
    </row>
    <row r="387" spans="1:12" ht="15.75" customHeight="1">
      <c r="A387" s="3" t="s">
        <v>1178</v>
      </c>
      <c r="B387" s="25">
        <v>45985</v>
      </c>
      <c r="C387" s="3" t="s">
        <v>20</v>
      </c>
      <c r="D387" s="3" t="s">
        <v>21</v>
      </c>
      <c r="E387" s="3" t="s">
        <v>15</v>
      </c>
      <c r="F387" s="3" t="s">
        <v>1179</v>
      </c>
      <c r="G387" s="3" t="s">
        <v>1180</v>
      </c>
      <c r="H387" s="3" t="s">
        <v>35</v>
      </c>
      <c r="I387" s="3">
        <v>1838.1</v>
      </c>
      <c r="J387" s="3">
        <v>2</v>
      </c>
      <c r="K387" s="3">
        <v>250.96</v>
      </c>
      <c r="L387" s="3">
        <v>0.22</v>
      </c>
    </row>
    <row r="388" spans="1:12" ht="15.75" customHeight="1">
      <c r="A388" s="3" t="s">
        <v>1181</v>
      </c>
      <c r="B388" s="25">
        <v>45663</v>
      </c>
      <c r="C388" s="3" t="s">
        <v>28</v>
      </c>
      <c r="D388" s="3" t="s">
        <v>14</v>
      </c>
      <c r="E388" s="3" t="s">
        <v>15</v>
      </c>
      <c r="F388" s="3" t="s">
        <v>1182</v>
      </c>
      <c r="G388" s="3" t="s">
        <v>1183</v>
      </c>
      <c r="H388" s="3" t="s">
        <v>18</v>
      </c>
      <c r="I388" s="3">
        <v>1129.83</v>
      </c>
      <c r="J388" s="3">
        <v>4</v>
      </c>
      <c r="K388" s="3">
        <v>136.41</v>
      </c>
      <c r="L388" s="3">
        <v>0.05</v>
      </c>
    </row>
    <row r="389" spans="1:12" ht="15.75" customHeight="1">
      <c r="A389" s="3" t="s">
        <v>1184</v>
      </c>
      <c r="B389" s="25">
        <v>46007</v>
      </c>
      <c r="C389" s="3" t="s">
        <v>20</v>
      </c>
      <c r="D389" s="3" t="s">
        <v>32</v>
      </c>
      <c r="E389" s="3" t="s">
        <v>15</v>
      </c>
      <c r="F389" s="3" t="s">
        <v>1185</v>
      </c>
      <c r="G389" s="3" t="s">
        <v>1186</v>
      </c>
      <c r="H389" s="3" t="s">
        <v>18</v>
      </c>
      <c r="I389" s="3">
        <v>1547.46</v>
      </c>
      <c r="J389" s="3">
        <v>1</v>
      </c>
      <c r="K389" s="3">
        <v>106.77</v>
      </c>
      <c r="L389" s="3">
        <v>0.13</v>
      </c>
    </row>
    <row r="390" spans="1:12" ht="15.75" customHeight="1">
      <c r="A390" s="3" t="s">
        <v>1187</v>
      </c>
      <c r="B390" s="25">
        <v>45697</v>
      </c>
      <c r="C390" s="3" t="s">
        <v>13</v>
      </c>
      <c r="D390" s="3" t="s">
        <v>14</v>
      </c>
      <c r="E390" s="3" t="s">
        <v>15</v>
      </c>
      <c r="F390" s="3" t="s">
        <v>1188</v>
      </c>
      <c r="G390" s="3" t="s">
        <v>1189</v>
      </c>
      <c r="H390" s="3" t="s">
        <v>18</v>
      </c>
      <c r="I390" s="3">
        <v>793.65</v>
      </c>
      <c r="J390" s="3">
        <v>4</v>
      </c>
      <c r="K390" s="3">
        <v>312.67</v>
      </c>
      <c r="L390" s="3">
        <v>0.09</v>
      </c>
    </row>
    <row r="391" spans="1:12" ht="15.75" customHeight="1">
      <c r="A391" s="3" t="s">
        <v>1190</v>
      </c>
      <c r="B391" s="25">
        <v>46016</v>
      </c>
      <c r="C391" s="3" t="s">
        <v>28</v>
      </c>
      <c r="D391" s="3" t="s">
        <v>21</v>
      </c>
      <c r="E391" s="3" t="s">
        <v>15</v>
      </c>
      <c r="F391" s="3" t="s">
        <v>1191</v>
      </c>
      <c r="G391" s="3" t="s">
        <v>1192</v>
      </c>
      <c r="H391" s="3" t="s">
        <v>18</v>
      </c>
      <c r="I391" s="3">
        <v>582.22</v>
      </c>
      <c r="J391" s="3">
        <v>10</v>
      </c>
      <c r="K391" s="3">
        <v>164.4</v>
      </c>
      <c r="L391" s="3">
        <v>0.09</v>
      </c>
    </row>
    <row r="392" spans="1:12" ht="15.75" customHeight="1">
      <c r="A392" s="3" t="s">
        <v>1193</v>
      </c>
      <c r="B392" s="25">
        <v>45931</v>
      </c>
      <c r="C392" s="3" t="s">
        <v>41</v>
      </c>
      <c r="D392" s="3" t="s">
        <v>32</v>
      </c>
      <c r="E392" s="3" t="s">
        <v>15</v>
      </c>
      <c r="F392" s="3" t="s">
        <v>1194</v>
      </c>
      <c r="G392" s="3" t="s">
        <v>1195</v>
      </c>
      <c r="H392" s="3" t="s">
        <v>35</v>
      </c>
      <c r="I392" s="3">
        <v>877.94</v>
      </c>
      <c r="J392" s="3">
        <v>4</v>
      </c>
      <c r="K392" s="3">
        <v>53.13</v>
      </c>
      <c r="L392" s="3">
        <v>0.19</v>
      </c>
    </row>
    <row r="393" spans="1:12" ht="15.75" customHeight="1">
      <c r="A393" s="3" t="s">
        <v>1196</v>
      </c>
      <c r="B393" s="25">
        <v>45874</v>
      </c>
      <c r="C393" s="3" t="s">
        <v>41</v>
      </c>
      <c r="D393" s="3" t="s">
        <v>14</v>
      </c>
      <c r="E393" s="3" t="s">
        <v>15</v>
      </c>
      <c r="F393" s="3" t="s">
        <v>1197</v>
      </c>
      <c r="G393" s="3" t="s">
        <v>1198</v>
      </c>
      <c r="H393" s="3" t="s">
        <v>39</v>
      </c>
      <c r="I393" s="3">
        <v>240.46</v>
      </c>
      <c r="J393" s="3">
        <v>2</v>
      </c>
      <c r="K393" s="3">
        <v>47.42</v>
      </c>
      <c r="L393" s="3">
        <v>0.12</v>
      </c>
    </row>
    <row r="394" spans="1:12" ht="15.75" customHeight="1">
      <c r="A394" s="3" t="s">
        <v>1199</v>
      </c>
      <c r="B394" s="25">
        <v>45794</v>
      </c>
      <c r="C394" s="3" t="s">
        <v>20</v>
      </c>
      <c r="D394" s="3" t="s">
        <v>21</v>
      </c>
      <c r="E394" s="3" t="s">
        <v>15</v>
      </c>
      <c r="F394" s="3" t="s">
        <v>1200</v>
      </c>
      <c r="G394" s="3" t="s">
        <v>1201</v>
      </c>
      <c r="H394" s="3" t="s">
        <v>35</v>
      </c>
      <c r="I394" s="3">
        <v>1773.6</v>
      </c>
      <c r="J394" s="3">
        <v>2</v>
      </c>
      <c r="K394" s="3">
        <v>406.2</v>
      </c>
      <c r="L394" s="3">
        <v>0.04</v>
      </c>
    </row>
    <row r="395" spans="1:12" ht="15.75" customHeight="1">
      <c r="A395" s="3" t="s">
        <v>1202</v>
      </c>
      <c r="B395" s="25">
        <v>46015</v>
      </c>
      <c r="C395" s="3" t="s">
        <v>41</v>
      </c>
      <c r="D395" s="3" t="s">
        <v>14</v>
      </c>
      <c r="E395" s="3" t="s">
        <v>15</v>
      </c>
      <c r="F395" s="3" t="s">
        <v>1203</v>
      </c>
      <c r="G395" s="3" t="s">
        <v>1204</v>
      </c>
      <c r="H395" s="3" t="s">
        <v>35</v>
      </c>
      <c r="I395" s="3">
        <v>1114.8499999999999</v>
      </c>
      <c r="J395" s="3">
        <v>4</v>
      </c>
      <c r="K395" s="3">
        <v>366.15</v>
      </c>
      <c r="L395" s="3">
        <v>0.21</v>
      </c>
    </row>
    <row r="396" spans="1:12" ht="15.75" customHeight="1">
      <c r="A396" s="3" t="s">
        <v>1205</v>
      </c>
      <c r="B396" s="25">
        <v>45704</v>
      </c>
      <c r="C396" s="3" t="s">
        <v>13</v>
      </c>
      <c r="D396" s="3" t="s">
        <v>14</v>
      </c>
      <c r="E396" s="3" t="s">
        <v>15</v>
      </c>
      <c r="F396" s="3" t="s">
        <v>1206</v>
      </c>
      <c r="G396" s="3" t="s">
        <v>1207</v>
      </c>
      <c r="H396" s="3" t="s">
        <v>18</v>
      </c>
      <c r="I396" s="3">
        <v>845.46</v>
      </c>
      <c r="J396" s="3">
        <v>10</v>
      </c>
      <c r="K396" s="3">
        <v>172.33</v>
      </c>
      <c r="L396" s="3">
        <v>7.0000000000000007E-2</v>
      </c>
    </row>
    <row r="397" spans="1:12" ht="15.75" customHeight="1">
      <c r="A397" s="3" t="s">
        <v>1208</v>
      </c>
      <c r="B397" s="25">
        <v>45694</v>
      </c>
      <c r="C397" s="3" t="s">
        <v>41</v>
      </c>
      <c r="D397" s="3" t="s">
        <v>14</v>
      </c>
      <c r="E397" s="3" t="s">
        <v>15</v>
      </c>
      <c r="F397" s="3" t="s">
        <v>1209</v>
      </c>
      <c r="G397" s="3" t="s">
        <v>1210</v>
      </c>
      <c r="H397" s="3" t="s">
        <v>35</v>
      </c>
      <c r="I397" s="3">
        <v>1549.76</v>
      </c>
      <c r="J397" s="3">
        <v>7</v>
      </c>
      <c r="K397" s="3">
        <v>191.38</v>
      </c>
      <c r="L397" s="3">
        <v>0.11</v>
      </c>
    </row>
    <row r="398" spans="1:12" ht="15.75" customHeight="1">
      <c r="A398" s="3" t="s">
        <v>1211</v>
      </c>
      <c r="B398" s="25">
        <v>46001</v>
      </c>
      <c r="C398" s="3" t="s">
        <v>41</v>
      </c>
      <c r="D398" s="3" t="s">
        <v>21</v>
      </c>
      <c r="E398" s="3" t="s">
        <v>15</v>
      </c>
      <c r="F398" s="3" t="s">
        <v>1212</v>
      </c>
      <c r="G398" s="3" t="s">
        <v>1213</v>
      </c>
      <c r="H398" s="3" t="s">
        <v>39</v>
      </c>
      <c r="I398" s="3">
        <v>1237.47</v>
      </c>
      <c r="J398" s="3">
        <v>7</v>
      </c>
      <c r="K398" s="3">
        <v>67.819999999999993</v>
      </c>
      <c r="L398" s="3">
        <v>0.13</v>
      </c>
    </row>
    <row r="399" spans="1:12" ht="15.75" customHeight="1">
      <c r="A399" s="3" t="s">
        <v>1214</v>
      </c>
      <c r="B399" s="25">
        <v>45664</v>
      </c>
      <c r="C399" s="3" t="s">
        <v>41</v>
      </c>
      <c r="D399" s="3" t="s">
        <v>14</v>
      </c>
      <c r="E399" s="3" t="s">
        <v>15</v>
      </c>
      <c r="F399" s="3" t="s">
        <v>1215</v>
      </c>
      <c r="G399" s="3" t="s">
        <v>1216</v>
      </c>
      <c r="H399" s="3" t="s">
        <v>35</v>
      </c>
      <c r="I399" s="3">
        <v>642.26</v>
      </c>
      <c r="J399" s="3">
        <v>4</v>
      </c>
      <c r="K399" s="3">
        <v>216.4</v>
      </c>
      <c r="L399" s="3">
        <v>0.24</v>
      </c>
    </row>
    <row r="400" spans="1:12" ht="15.75" customHeight="1">
      <c r="A400" s="3" t="s">
        <v>1217</v>
      </c>
      <c r="B400" s="25">
        <v>45876</v>
      </c>
      <c r="C400" s="3" t="s">
        <v>41</v>
      </c>
      <c r="D400" s="3" t="s">
        <v>14</v>
      </c>
      <c r="E400" s="3" t="s">
        <v>15</v>
      </c>
      <c r="F400" s="3" t="s">
        <v>1218</v>
      </c>
      <c r="G400" s="3" t="s">
        <v>1219</v>
      </c>
      <c r="H400" s="3" t="s">
        <v>35</v>
      </c>
      <c r="I400" s="3">
        <v>439.21</v>
      </c>
      <c r="J400" s="3">
        <v>8</v>
      </c>
      <c r="K400" s="3">
        <v>58.18</v>
      </c>
      <c r="L400" s="3">
        <v>0.1</v>
      </c>
    </row>
    <row r="401" spans="1:12" ht="15.75" customHeight="1">
      <c r="A401" s="3" t="s">
        <v>1220</v>
      </c>
      <c r="B401" s="25">
        <v>45727</v>
      </c>
      <c r="C401" s="3" t="s">
        <v>28</v>
      </c>
      <c r="D401" s="3" t="s">
        <v>21</v>
      </c>
      <c r="E401" s="3" t="s">
        <v>15</v>
      </c>
      <c r="F401" s="3" t="s">
        <v>1221</v>
      </c>
      <c r="G401" s="3" t="s">
        <v>1222</v>
      </c>
      <c r="H401" s="3" t="s">
        <v>35</v>
      </c>
      <c r="I401" s="3">
        <v>1638.6</v>
      </c>
      <c r="J401" s="3">
        <v>6</v>
      </c>
      <c r="K401" s="3">
        <v>600.12</v>
      </c>
      <c r="L401" s="3">
        <v>7.0000000000000007E-2</v>
      </c>
    </row>
  </sheetData>
  <mergeCells count="3">
    <mergeCell ref="N2:P2"/>
    <mergeCell ref="N3:P3"/>
    <mergeCell ref="N4:P4"/>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E100"/>
  <sheetViews>
    <sheetView workbookViewId="0">
      <selection activeCell="A11" sqref="A11"/>
    </sheetView>
  </sheetViews>
  <sheetFormatPr defaultColWidth="14.44140625" defaultRowHeight="15" customHeight="1"/>
  <cols>
    <col min="1" max="1" width="45.5546875" bestFit="1" customWidth="1"/>
    <col min="2" max="2" width="9.6640625" bestFit="1" customWidth="1"/>
    <col min="3" max="3" width="6.77734375" bestFit="1" customWidth="1"/>
    <col min="4" max="4" width="9.33203125" bestFit="1" customWidth="1"/>
    <col min="5" max="5" width="10.33203125" bestFit="1" customWidth="1"/>
    <col min="6" max="11" width="8.6640625" customWidth="1"/>
  </cols>
  <sheetData>
    <row r="1" spans="1:5" ht="14.4">
      <c r="A1" s="7" t="s">
        <v>1223</v>
      </c>
      <c r="B1" s="5" t="s">
        <v>0</v>
      </c>
      <c r="C1" s="2" t="s">
        <v>1224</v>
      </c>
      <c r="D1" s="2" t="s">
        <v>1225</v>
      </c>
      <c r="E1" s="2" t="s">
        <v>1226</v>
      </c>
    </row>
    <row r="2" spans="1:5" ht="14.4">
      <c r="A2" s="8" t="s">
        <v>1231</v>
      </c>
      <c r="B2" s="6" t="str">
        <f>'01_Main_Dataset'!A2</f>
        <v>ORD00002</v>
      </c>
      <c r="C2" s="3" t="str">
        <f>PROPER('01_Main_Dataset'!C2)</f>
        <v>West</v>
      </c>
      <c r="D2" s="3" t="str">
        <f>TRIM('01_Main_Dataset'!F2)</f>
        <v>Product2</v>
      </c>
      <c r="E2" s="4">
        <f>'01_Main_Dataset'!B2</f>
        <v>45954</v>
      </c>
    </row>
    <row r="3" spans="1:5" ht="14.4">
      <c r="A3" s="8" t="s">
        <v>1232</v>
      </c>
      <c r="B3" s="6" t="str">
        <f>'01_Main_Dataset'!A3</f>
        <v>ORD00003</v>
      </c>
      <c r="C3" s="3" t="str">
        <f>PROPER('01_Main_Dataset'!C3)</f>
        <v>South</v>
      </c>
      <c r="D3" s="3" t="str">
        <f>TRIM('01_Main_Dataset'!F3)</f>
        <v>Product3</v>
      </c>
      <c r="E3" s="4">
        <f>'01_Main_Dataset'!B3</f>
        <v>45921</v>
      </c>
    </row>
    <row r="4" spans="1:5" ht="14.4">
      <c r="A4" s="8" t="s">
        <v>1233</v>
      </c>
      <c r="B4" s="6" t="str">
        <f>'01_Main_Dataset'!A4</f>
        <v>ORD00004</v>
      </c>
      <c r="C4" s="3" t="str">
        <f>PROPER('01_Main_Dataset'!C4)</f>
        <v>West</v>
      </c>
      <c r="D4" s="3" t="str">
        <f>TRIM('01_Main_Dataset'!F4)</f>
        <v>Product4</v>
      </c>
      <c r="E4" s="4">
        <f>'01_Main_Dataset'!B4</f>
        <v>45675</v>
      </c>
    </row>
    <row r="5" spans="1:5" ht="14.4">
      <c r="A5" s="8" t="s">
        <v>1234</v>
      </c>
      <c r="B5" s="6" t="str">
        <f>'01_Main_Dataset'!A5</f>
        <v>ORD00005</v>
      </c>
      <c r="C5" s="3" t="str">
        <f>PROPER('01_Main_Dataset'!C5)</f>
        <v>East</v>
      </c>
      <c r="D5" s="3" t="str">
        <f>TRIM('01_Main_Dataset'!F5)</f>
        <v>Product5</v>
      </c>
      <c r="E5" s="4">
        <f>'01_Main_Dataset'!B5</f>
        <v>45658</v>
      </c>
    </row>
    <row r="6" spans="1:5" thickBot="1">
      <c r="A6" s="9" t="s">
        <v>1235</v>
      </c>
      <c r="B6" s="6" t="str">
        <f>'01_Main_Dataset'!A6</f>
        <v>ORD00006</v>
      </c>
      <c r="C6" s="3" t="str">
        <f>PROPER('01_Main_Dataset'!C6)</f>
        <v>East</v>
      </c>
      <c r="D6" s="3" t="str">
        <f>TRIM('01_Main_Dataset'!F6)</f>
        <v>Product6</v>
      </c>
      <c r="E6" s="4">
        <f>'01_Main_Dataset'!B6</f>
        <v>45722</v>
      </c>
    </row>
    <row r="7" spans="1:5" ht="14.4">
      <c r="B7" s="3" t="str">
        <f>'01_Main_Dataset'!A7</f>
        <v>ORD00007</v>
      </c>
      <c r="C7" s="3" t="str">
        <f>PROPER('01_Main_Dataset'!C7)</f>
        <v>East</v>
      </c>
      <c r="D7" s="3" t="str">
        <f>TRIM('01_Main_Dataset'!F7)</f>
        <v>Product7</v>
      </c>
      <c r="E7" s="4">
        <f>'01_Main_Dataset'!B7</f>
        <v>45975</v>
      </c>
    </row>
    <row r="8" spans="1:5" ht="14.4">
      <c r="B8" s="3" t="str">
        <f>'01_Main_Dataset'!A8</f>
        <v>ORD00008</v>
      </c>
      <c r="C8" s="3" t="str">
        <f>PROPER('01_Main_Dataset'!C8)</f>
        <v>North</v>
      </c>
      <c r="D8" s="3" t="str">
        <f>TRIM('01_Main_Dataset'!F8)</f>
        <v>Product8</v>
      </c>
      <c r="E8" s="4">
        <f>'01_Main_Dataset'!B8</f>
        <v>45692</v>
      </c>
    </row>
    <row r="9" spans="1:5" ht="14.4">
      <c r="B9" s="3" t="str">
        <f>'01_Main_Dataset'!A9</f>
        <v>ORD00009</v>
      </c>
      <c r="C9" s="3" t="str">
        <f>PROPER('01_Main_Dataset'!C9)</f>
        <v>East</v>
      </c>
      <c r="D9" s="3" t="str">
        <f>TRIM('01_Main_Dataset'!F9)</f>
        <v>Product9</v>
      </c>
      <c r="E9" s="4">
        <f>'01_Main_Dataset'!B9</f>
        <v>45708</v>
      </c>
    </row>
    <row r="10" spans="1:5" ht="14.4">
      <c r="B10" s="3" t="str">
        <f>'01_Main_Dataset'!A10</f>
        <v>ORD00010</v>
      </c>
      <c r="C10" s="3" t="str">
        <f>PROPER('01_Main_Dataset'!C10)</f>
        <v>North</v>
      </c>
      <c r="D10" s="3" t="str">
        <f>TRIM('01_Main_Dataset'!F10)</f>
        <v>Product10</v>
      </c>
      <c r="E10" s="4">
        <f>'01_Main_Dataset'!B10</f>
        <v>46005</v>
      </c>
    </row>
    <row r="11" spans="1:5" ht="14.4">
      <c r="B11" s="3" t="str">
        <f>'01_Main_Dataset'!A11</f>
        <v>ORD00011</v>
      </c>
      <c r="C11" s="3" t="str">
        <f>PROPER('01_Main_Dataset'!C11)</f>
        <v>East</v>
      </c>
      <c r="D11" s="3" t="str">
        <f>TRIM('01_Main_Dataset'!F11)</f>
        <v>Product11</v>
      </c>
      <c r="E11" s="4">
        <f>'01_Main_Dataset'!B11</f>
        <v>45778</v>
      </c>
    </row>
    <row r="12" spans="1:5" ht="14.4">
      <c r="B12" s="3" t="str">
        <f>'01_Main_Dataset'!A12</f>
        <v>ORD00012</v>
      </c>
      <c r="C12" s="3" t="str">
        <f>PROPER('01_Main_Dataset'!C12)</f>
        <v>North</v>
      </c>
      <c r="D12" s="3" t="str">
        <f>TRIM('01_Main_Dataset'!F12)</f>
        <v>Product12</v>
      </c>
      <c r="E12" s="4">
        <f>'01_Main_Dataset'!B12</f>
        <v>45976</v>
      </c>
    </row>
    <row r="13" spans="1:5" ht="14.4">
      <c r="B13" s="3" t="str">
        <f>'01_Main_Dataset'!A13</f>
        <v>ORD00013</v>
      </c>
      <c r="C13" s="3" t="str">
        <f>PROPER('01_Main_Dataset'!C13)</f>
        <v>South</v>
      </c>
      <c r="D13" s="3" t="str">
        <f>TRIM('01_Main_Dataset'!F13)</f>
        <v>Product13</v>
      </c>
      <c r="E13" s="4">
        <f>'01_Main_Dataset'!B13</f>
        <v>45928</v>
      </c>
    </row>
    <row r="14" spans="1:5" ht="14.4">
      <c r="B14" s="3" t="str">
        <f>'01_Main_Dataset'!A14</f>
        <v>ORD00014</v>
      </c>
      <c r="C14" s="3" t="str">
        <f>PROPER('01_Main_Dataset'!C14)</f>
        <v>East</v>
      </c>
      <c r="D14" s="3" t="str">
        <f>TRIM('01_Main_Dataset'!F14)</f>
        <v>Product14</v>
      </c>
      <c r="E14" s="4">
        <f>'01_Main_Dataset'!B14</f>
        <v>45927</v>
      </c>
    </row>
    <row r="15" spans="1:5" ht="14.4">
      <c r="B15" s="3" t="str">
        <f>'01_Main_Dataset'!A15</f>
        <v>ORD00015</v>
      </c>
      <c r="C15" s="3" t="str">
        <f>PROPER('01_Main_Dataset'!C15)</f>
        <v>South</v>
      </c>
      <c r="D15" s="3" t="str">
        <f>TRIM('01_Main_Dataset'!F15)</f>
        <v>Product15</v>
      </c>
      <c r="E15" s="4">
        <f>'01_Main_Dataset'!B15</f>
        <v>45834</v>
      </c>
    </row>
    <row r="16" spans="1:5" ht="14.4">
      <c r="B16" s="3" t="str">
        <f>'01_Main_Dataset'!A16</f>
        <v>ORD00016</v>
      </c>
      <c r="C16" s="3" t="str">
        <f>PROPER('01_Main_Dataset'!C16)</f>
        <v>East</v>
      </c>
      <c r="D16" s="3" t="str">
        <f>TRIM('01_Main_Dataset'!F16)</f>
        <v>Product16</v>
      </c>
      <c r="E16" s="4">
        <f>'01_Main_Dataset'!B16</f>
        <v>45986</v>
      </c>
    </row>
    <row r="17" spans="2:5" ht="14.4">
      <c r="B17" s="3" t="str">
        <f>'01_Main_Dataset'!A17</f>
        <v>ORD00017</v>
      </c>
      <c r="C17" s="3" t="str">
        <f>PROPER('01_Main_Dataset'!C17)</f>
        <v>West</v>
      </c>
      <c r="D17" s="3" t="str">
        <f>TRIM('01_Main_Dataset'!F17)</f>
        <v>Product17</v>
      </c>
      <c r="E17" s="4">
        <f>'01_Main_Dataset'!B17</f>
        <v>45884</v>
      </c>
    </row>
    <row r="18" spans="2:5" ht="14.4">
      <c r="B18" s="3" t="str">
        <f>'01_Main_Dataset'!A18</f>
        <v>ORD00018</v>
      </c>
      <c r="C18" s="3" t="str">
        <f>PROPER('01_Main_Dataset'!C18)</f>
        <v>East</v>
      </c>
      <c r="D18" s="3" t="str">
        <f>TRIM('01_Main_Dataset'!F18)</f>
        <v>Product18</v>
      </c>
      <c r="E18" s="4">
        <f>'01_Main_Dataset'!B18</f>
        <v>45771</v>
      </c>
    </row>
    <row r="19" spans="2:5" ht="14.4">
      <c r="B19" s="3" t="str">
        <f>'01_Main_Dataset'!A19</f>
        <v>ORD00019</v>
      </c>
      <c r="C19" s="3" t="str">
        <f>PROPER('01_Main_Dataset'!C19)</f>
        <v>North</v>
      </c>
      <c r="D19" s="3" t="str">
        <f>TRIM('01_Main_Dataset'!F19)</f>
        <v>Product19</v>
      </c>
      <c r="E19" s="4">
        <f>'01_Main_Dataset'!B19</f>
        <v>45716</v>
      </c>
    </row>
    <row r="20" spans="2:5" ht="14.4">
      <c r="B20" s="3" t="str">
        <f>'01_Main_Dataset'!A20</f>
        <v>ORD00020</v>
      </c>
      <c r="C20" s="3" t="str">
        <f>PROPER('01_Main_Dataset'!C20)</f>
        <v>East</v>
      </c>
      <c r="D20" s="3" t="str">
        <f>TRIM('01_Main_Dataset'!F20)</f>
        <v>Product20</v>
      </c>
      <c r="E20" s="4">
        <f>'01_Main_Dataset'!B20</f>
        <v>45989</v>
      </c>
    </row>
    <row r="21" spans="2:5" ht="15.75" customHeight="1">
      <c r="B21" s="3" t="str">
        <f>'01_Main_Dataset'!A21</f>
        <v>ORD00021</v>
      </c>
      <c r="C21" s="3" t="str">
        <f>PROPER('01_Main_Dataset'!C21)</f>
        <v>North</v>
      </c>
      <c r="D21" s="3" t="str">
        <f>TRIM('01_Main_Dataset'!F21)</f>
        <v>Product21</v>
      </c>
      <c r="E21" s="4">
        <f>'01_Main_Dataset'!B21</f>
        <v>45928</v>
      </c>
    </row>
    <row r="22" spans="2:5" ht="15.75" customHeight="1">
      <c r="B22" s="3" t="str">
        <f>'01_Main_Dataset'!A22</f>
        <v>ORD00022</v>
      </c>
      <c r="C22" s="3" t="str">
        <f>PROPER('01_Main_Dataset'!C22)</f>
        <v>North</v>
      </c>
      <c r="D22" s="3" t="str">
        <f>TRIM('01_Main_Dataset'!F22)</f>
        <v>Product22</v>
      </c>
      <c r="E22" s="4">
        <f>'01_Main_Dataset'!B22</f>
        <v>45878</v>
      </c>
    </row>
    <row r="23" spans="2:5" ht="15.75" customHeight="1">
      <c r="B23" s="3" t="str">
        <f>'01_Main_Dataset'!A23</f>
        <v>ORD00023</v>
      </c>
      <c r="C23" s="3" t="str">
        <f>PROPER('01_Main_Dataset'!C23)</f>
        <v>East</v>
      </c>
      <c r="D23" s="3" t="str">
        <f>TRIM('01_Main_Dataset'!F23)</f>
        <v>Product23</v>
      </c>
      <c r="E23" s="4">
        <f>'01_Main_Dataset'!B23</f>
        <v>45999</v>
      </c>
    </row>
    <row r="24" spans="2:5" ht="15.75" customHeight="1">
      <c r="B24" s="3" t="str">
        <f>'01_Main_Dataset'!A24</f>
        <v>ORD00024</v>
      </c>
      <c r="C24" s="3" t="str">
        <f>PROPER('01_Main_Dataset'!C24)</f>
        <v>South</v>
      </c>
      <c r="D24" s="3" t="str">
        <f>TRIM('01_Main_Dataset'!F24)</f>
        <v>Product24</v>
      </c>
      <c r="E24" s="4">
        <f>'01_Main_Dataset'!B24</f>
        <v>45658</v>
      </c>
    </row>
    <row r="25" spans="2:5" ht="15.75" customHeight="1">
      <c r="B25" s="3" t="str">
        <f>'01_Main_Dataset'!A25</f>
        <v>ORD00025</v>
      </c>
      <c r="C25" s="3" t="str">
        <f>PROPER('01_Main_Dataset'!C25)</f>
        <v>South</v>
      </c>
      <c r="D25" s="3" t="str">
        <f>TRIM('01_Main_Dataset'!F25)</f>
        <v>Product25</v>
      </c>
      <c r="E25" s="4">
        <f>'01_Main_Dataset'!B25</f>
        <v>45851</v>
      </c>
    </row>
    <row r="26" spans="2:5" ht="15.75" customHeight="1">
      <c r="B26" s="3" t="str">
        <f>'01_Main_Dataset'!A26</f>
        <v>ORD00026</v>
      </c>
      <c r="C26" s="3" t="str">
        <f>PROPER('01_Main_Dataset'!C26)</f>
        <v>South</v>
      </c>
      <c r="D26" s="3" t="str">
        <f>TRIM('01_Main_Dataset'!F26)</f>
        <v>Product26</v>
      </c>
      <c r="E26" s="4">
        <f>'01_Main_Dataset'!B26</f>
        <v>45721</v>
      </c>
    </row>
    <row r="27" spans="2:5" ht="15.75" customHeight="1">
      <c r="B27" s="3" t="str">
        <f>'01_Main_Dataset'!A27</f>
        <v>ORD00027</v>
      </c>
      <c r="C27" s="3" t="str">
        <f>PROPER('01_Main_Dataset'!C27)</f>
        <v>West</v>
      </c>
      <c r="D27" s="3" t="str">
        <f>TRIM('01_Main_Dataset'!F27)</f>
        <v>Product27</v>
      </c>
      <c r="E27" s="4">
        <f>'01_Main_Dataset'!B27</f>
        <v>45676</v>
      </c>
    </row>
    <row r="28" spans="2:5" ht="15.75" customHeight="1">
      <c r="B28" s="3" t="str">
        <f>'01_Main_Dataset'!A28</f>
        <v>ORD00028</v>
      </c>
      <c r="C28" s="3" t="str">
        <f>PROPER('01_Main_Dataset'!C28)</f>
        <v>East</v>
      </c>
      <c r="D28" s="3" t="str">
        <f>TRIM('01_Main_Dataset'!F28)</f>
        <v>Product28</v>
      </c>
      <c r="E28" s="4">
        <f>'01_Main_Dataset'!B28</f>
        <v>45979</v>
      </c>
    </row>
    <row r="29" spans="2:5" ht="15.75" customHeight="1">
      <c r="B29" s="3" t="str">
        <f>'01_Main_Dataset'!A29</f>
        <v>ORD00029</v>
      </c>
      <c r="C29" s="3" t="str">
        <f>PROPER('01_Main_Dataset'!C29)</f>
        <v>South</v>
      </c>
      <c r="D29" s="3" t="str">
        <f>TRIM('01_Main_Dataset'!F29)</f>
        <v>Product29</v>
      </c>
      <c r="E29" s="4">
        <f>'01_Main_Dataset'!B29</f>
        <v>45949</v>
      </c>
    </row>
    <row r="30" spans="2:5" ht="15.75" customHeight="1">
      <c r="B30" s="3" t="str">
        <f>'01_Main_Dataset'!A30</f>
        <v>ORD00030</v>
      </c>
      <c r="C30" s="3" t="str">
        <f>PROPER('01_Main_Dataset'!C30)</f>
        <v>East</v>
      </c>
      <c r="D30" s="3" t="str">
        <f>TRIM('01_Main_Dataset'!F30)</f>
        <v>Product30</v>
      </c>
      <c r="E30" s="4">
        <f>'01_Main_Dataset'!B30</f>
        <v>46015</v>
      </c>
    </row>
    <row r="31" spans="2:5" ht="15.75" customHeight="1">
      <c r="B31" s="3" t="str">
        <f>'01_Main_Dataset'!A31</f>
        <v>ORD00031</v>
      </c>
      <c r="C31" s="3" t="str">
        <f>PROPER('01_Main_Dataset'!C31)</f>
        <v>East</v>
      </c>
      <c r="D31" s="3" t="str">
        <f>TRIM('01_Main_Dataset'!F31)</f>
        <v>Product31</v>
      </c>
      <c r="E31" s="4">
        <f>'01_Main_Dataset'!B31</f>
        <v>45698</v>
      </c>
    </row>
    <row r="32" spans="2:5" ht="15.75" customHeight="1">
      <c r="B32" s="3" t="str">
        <f>'01_Main_Dataset'!A32</f>
        <v>ORD00032</v>
      </c>
      <c r="C32" s="3" t="str">
        <f>PROPER('01_Main_Dataset'!C32)</f>
        <v>East</v>
      </c>
      <c r="D32" s="3" t="str">
        <f>TRIM('01_Main_Dataset'!F32)</f>
        <v>Product32</v>
      </c>
      <c r="E32" s="4">
        <f>'01_Main_Dataset'!B32</f>
        <v>45858</v>
      </c>
    </row>
    <row r="33" spans="2:5" ht="15.75" customHeight="1">
      <c r="B33" s="3" t="str">
        <f>'01_Main_Dataset'!A33</f>
        <v>ORD00033</v>
      </c>
      <c r="C33" s="3" t="str">
        <f>PROPER('01_Main_Dataset'!C33)</f>
        <v>West</v>
      </c>
      <c r="D33" s="3" t="str">
        <f>TRIM('01_Main_Dataset'!F33)</f>
        <v>Product33</v>
      </c>
      <c r="E33" s="4">
        <f>'01_Main_Dataset'!B33</f>
        <v>45792</v>
      </c>
    </row>
    <row r="34" spans="2:5" ht="15.75" customHeight="1">
      <c r="B34" s="3" t="str">
        <f>'01_Main_Dataset'!A34</f>
        <v>ORD00034</v>
      </c>
      <c r="C34" s="3" t="str">
        <f>PROPER('01_Main_Dataset'!C34)</f>
        <v>West</v>
      </c>
      <c r="D34" s="3" t="str">
        <f>TRIM('01_Main_Dataset'!F34)</f>
        <v>Product34</v>
      </c>
      <c r="E34" s="4">
        <f>'01_Main_Dataset'!B34</f>
        <v>45719</v>
      </c>
    </row>
    <row r="35" spans="2:5" ht="15.75" customHeight="1">
      <c r="B35" s="3" t="str">
        <f>'01_Main_Dataset'!A35</f>
        <v>ORD00035</v>
      </c>
      <c r="C35" s="3" t="str">
        <f>PROPER('01_Main_Dataset'!C35)</f>
        <v>South</v>
      </c>
      <c r="D35" s="3" t="str">
        <f>TRIM('01_Main_Dataset'!F35)</f>
        <v>Product35</v>
      </c>
      <c r="E35" s="4">
        <f>'01_Main_Dataset'!B35</f>
        <v>45881</v>
      </c>
    </row>
    <row r="36" spans="2:5" ht="15.75" customHeight="1">
      <c r="B36" s="3" t="str">
        <f>'01_Main_Dataset'!A36</f>
        <v>ORD00036</v>
      </c>
      <c r="C36" s="3" t="str">
        <f>PROPER('01_Main_Dataset'!C36)</f>
        <v>East</v>
      </c>
      <c r="D36" s="3" t="str">
        <f>TRIM('01_Main_Dataset'!F36)</f>
        <v>Product36</v>
      </c>
      <c r="E36" s="4">
        <f>'01_Main_Dataset'!B36</f>
        <v>45849</v>
      </c>
    </row>
    <row r="37" spans="2:5" ht="15.75" customHeight="1">
      <c r="B37" s="3" t="str">
        <f>'01_Main_Dataset'!A37</f>
        <v>ORD00037</v>
      </c>
      <c r="C37" s="3" t="str">
        <f>PROPER('01_Main_Dataset'!C37)</f>
        <v>North</v>
      </c>
      <c r="D37" s="3" t="str">
        <f>TRIM('01_Main_Dataset'!F37)</f>
        <v>Product37</v>
      </c>
      <c r="E37" s="4">
        <f>'01_Main_Dataset'!B37</f>
        <v>45951</v>
      </c>
    </row>
    <row r="38" spans="2:5" ht="15.75" customHeight="1">
      <c r="B38" s="3" t="str">
        <f>'01_Main_Dataset'!A38</f>
        <v>ORD00038</v>
      </c>
      <c r="C38" s="3" t="str">
        <f>PROPER('01_Main_Dataset'!C38)</f>
        <v>North</v>
      </c>
      <c r="D38" s="3" t="str">
        <f>TRIM('01_Main_Dataset'!F38)</f>
        <v>Product38</v>
      </c>
      <c r="E38" s="4">
        <f>'01_Main_Dataset'!B38</f>
        <v>45941</v>
      </c>
    </row>
    <row r="39" spans="2:5" ht="15.75" customHeight="1">
      <c r="B39" s="3" t="str">
        <f>'01_Main_Dataset'!A39</f>
        <v>ORD00039</v>
      </c>
      <c r="C39" s="3" t="str">
        <f>PROPER('01_Main_Dataset'!C39)</f>
        <v>South</v>
      </c>
      <c r="D39" s="3" t="str">
        <f>TRIM('01_Main_Dataset'!F39)</f>
        <v>Product39</v>
      </c>
      <c r="E39" s="4">
        <f>'01_Main_Dataset'!B39</f>
        <v>45684</v>
      </c>
    </row>
    <row r="40" spans="2:5" ht="15.75" customHeight="1">
      <c r="B40" s="3" t="str">
        <f>'01_Main_Dataset'!A40</f>
        <v>ORD00040</v>
      </c>
      <c r="C40" s="3" t="str">
        <f>PROPER('01_Main_Dataset'!C40)</f>
        <v>South</v>
      </c>
      <c r="D40" s="3" t="str">
        <f>TRIM('01_Main_Dataset'!F40)</f>
        <v>Product40</v>
      </c>
      <c r="E40" s="4">
        <f>'01_Main_Dataset'!B40</f>
        <v>46013</v>
      </c>
    </row>
    <row r="41" spans="2:5" ht="15.75" customHeight="1">
      <c r="B41" s="3" t="str">
        <f>'01_Main_Dataset'!A41</f>
        <v>ORD00041</v>
      </c>
      <c r="C41" s="3" t="str">
        <f>PROPER('01_Main_Dataset'!C41)</f>
        <v>East</v>
      </c>
      <c r="D41" s="3" t="str">
        <f>TRIM('01_Main_Dataset'!F41)</f>
        <v>Product41</v>
      </c>
      <c r="E41" s="4">
        <f>'01_Main_Dataset'!B41</f>
        <v>45979</v>
      </c>
    </row>
    <row r="42" spans="2:5" ht="15.75" customHeight="1">
      <c r="B42" s="3" t="str">
        <f>'01_Main_Dataset'!A42</f>
        <v>ORD00042</v>
      </c>
      <c r="C42" s="3" t="str">
        <f>PROPER('01_Main_Dataset'!C42)</f>
        <v>West</v>
      </c>
      <c r="D42" s="3" t="str">
        <f>TRIM('01_Main_Dataset'!F42)</f>
        <v>Product42</v>
      </c>
      <c r="E42" s="4">
        <f>'01_Main_Dataset'!B42</f>
        <v>45876</v>
      </c>
    </row>
    <row r="43" spans="2:5" ht="15.75" customHeight="1">
      <c r="B43" s="3" t="str">
        <f>'01_Main_Dataset'!A43</f>
        <v>ORD00043</v>
      </c>
      <c r="C43" s="3" t="str">
        <f>PROPER('01_Main_Dataset'!C43)</f>
        <v>West</v>
      </c>
      <c r="D43" s="3" t="str">
        <f>TRIM('01_Main_Dataset'!F43)</f>
        <v>Product43</v>
      </c>
      <c r="E43" s="4">
        <f>'01_Main_Dataset'!B43</f>
        <v>45923</v>
      </c>
    </row>
    <row r="44" spans="2:5" ht="15.75" customHeight="1">
      <c r="B44" s="3" t="str">
        <f>'01_Main_Dataset'!A44</f>
        <v>ORD00044</v>
      </c>
      <c r="C44" s="3" t="str">
        <f>PROPER('01_Main_Dataset'!C44)</f>
        <v>South</v>
      </c>
      <c r="D44" s="3" t="str">
        <f>TRIM('01_Main_Dataset'!F44)</f>
        <v>Product44</v>
      </c>
      <c r="E44" s="4">
        <f>'01_Main_Dataset'!B44</f>
        <v>45691</v>
      </c>
    </row>
    <row r="45" spans="2:5" ht="15.75" customHeight="1">
      <c r="B45" s="3" t="str">
        <f>'01_Main_Dataset'!A45</f>
        <v>ORD00045</v>
      </c>
      <c r="C45" s="3" t="str">
        <f>PROPER('01_Main_Dataset'!C45)</f>
        <v>South</v>
      </c>
      <c r="D45" s="3" t="str">
        <f>TRIM('01_Main_Dataset'!F45)</f>
        <v>Product45</v>
      </c>
      <c r="E45" s="4">
        <f>'01_Main_Dataset'!B45</f>
        <v>45947</v>
      </c>
    </row>
    <row r="46" spans="2:5" ht="15.75" customHeight="1">
      <c r="B46" s="3" t="str">
        <f>'01_Main_Dataset'!A46</f>
        <v>ORD00046</v>
      </c>
      <c r="C46" s="3" t="str">
        <f>PROPER('01_Main_Dataset'!C46)</f>
        <v>East</v>
      </c>
      <c r="D46" s="3" t="str">
        <f>TRIM('01_Main_Dataset'!F46)</f>
        <v>Product46</v>
      </c>
      <c r="E46" s="4">
        <f>'01_Main_Dataset'!B46</f>
        <v>45717</v>
      </c>
    </row>
    <row r="47" spans="2:5" ht="15.75" customHeight="1">
      <c r="B47" s="3" t="str">
        <f>'01_Main_Dataset'!A47</f>
        <v>ORD00047</v>
      </c>
      <c r="C47" s="3" t="str">
        <f>PROPER('01_Main_Dataset'!C47)</f>
        <v>North</v>
      </c>
      <c r="D47" s="3" t="str">
        <f>TRIM('01_Main_Dataset'!F47)</f>
        <v>Product47</v>
      </c>
      <c r="E47" s="4">
        <f>'01_Main_Dataset'!B47</f>
        <v>45677</v>
      </c>
    </row>
    <row r="48" spans="2:5" ht="15.75" customHeight="1">
      <c r="B48" s="3" t="str">
        <f>'01_Main_Dataset'!A48</f>
        <v>ORD00048</v>
      </c>
      <c r="C48" s="3" t="str">
        <f>PROPER('01_Main_Dataset'!C48)</f>
        <v>West</v>
      </c>
      <c r="D48" s="3" t="str">
        <f>TRIM('01_Main_Dataset'!F48)</f>
        <v>Product48</v>
      </c>
      <c r="E48" s="4">
        <f>'01_Main_Dataset'!B48</f>
        <v>45769</v>
      </c>
    </row>
    <row r="49" spans="2:5" ht="15.75" customHeight="1">
      <c r="B49" s="3" t="str">
        <f>'01_Main_Dataset'!A49</f>
        <v>ORD00049</v>
      </c>
      <c r="C49" s="3" t="str">
        <f>PROPER('01_Main_Dataset'!C49)</f>
        <v>West</v>
      </c>
      <c r="D49" s="3" t="str">
        <f>TRIM('01_Main_Dataset'!F49)</f>
        <v>Product49</v>
      </c>
      <c r="E49" s="4">
        <f>'01_Main_Dataset'!B49</f>
        <v>45709</v>
      </c>
    </row>
    <row r="50" spans="2:5" ht="15.75" customHeight="1">
      <c r="B50" s="3" t="str">
        <f>'01_Main_Dataset'!A50</f>
        <v>ORD00050</v>
      </c>
      <c r="C50" s="3" t="str">
        <f>PROPER('01_Main_Dataset'!C50)</f>
        <v>South</v>
      </c>
      <c r="D50" s="3" t="str">
        <f>TRIM('01_Main_Dataset'!F50)</f>
        <v>Product50</v>
      </c>
      <c r="E50" s="4">
        <f>'01_Main_Dataset'!B50</f>
        <v>45718</v>
      </c>
    </row>
    <row r="51" spans="2:5" ht="15.75" customHeight="1">
      <c r="B51" s="3" t="str">
        <f>'01_Main_Dataset'!A51</f>
        <v>ORD00051</v>
      </c>
      <c r="C51" s="3" t="str">
        <f>PROPER('01_Main_Dataset'!C51)</f>
        <v>East</v>
      </c>
      <c r="D51" s="3" t="str">
        <f>TRIM('01_Main_Dataset'!F51)</f>
        <v>Product51</v>
      </c>
      <c r="E51" s="4">
        <f>'01_Main_Dataset'!B51</f>
        <v>45733</v>
      </c>
    </row>
    <row r="52" spans="2:5" ht="15.75" customHeight="1">
      <c r="B52" s="3" t="str">
        <f>'01_Main_Dataset'!A52</f>
        <v>ORD00052</v>
      </c>
      <c r="C52" s="3" t="str">
        <f>PROPER('01_Main_Dataset'!C52)</f>
        <v>West</v>
      </c>
      <c r="D52" s="3" t="str">
        <f>TRIM('01_Main_Dataset'!F52)</f>
        <v>Product52</v>
      </c>
      <c r="E52" s="4">
        <f>'01_Main_Dataset'!B52</f>
        <v>45734</v>
      </c>
    </row>
    <row r="53" spans="2:5" ht="15.75" customHeight="1">
      <c r="B53" s="3" t="str">
        <f>'01_Main_Dataset'!A53</f>
        <v>ORD00053</v>
      </c>
      <c r="C53" s="3" t="str">
        <f>PROPER('01_Main_Dataset'!C53)</f>
        <v>West</v>
      </c>
      <c r="D53" s="3" t="str">
        <f>TRIM('01_Main_Dataset'!F53)</f>
        <v>Product53</v>
      </c>
      <c r="E53" s="4">
        <f>'01_Main_Dataset'!B53</f>
        <v>45795</v>
      </c>
    </row>
    <row r="54" spans="2:5" ht="15.75" customHeight="1">
      <c r="B54" s="3" t="str">
        <f>'01_Main_Dataset'!A54</f>
        <v>ORD00054</v>
      </c>
      <c r="C54" s="3" t="str">
        <f>PROPER('01_Main_Dataset'!C54)</f>
        <v>South</v>
      </c>
      <c r="D54" s="3" t="str">
        <f>TRIM('01_Main_Dataset'!F54)</f>
        <v>Product54</v>
      </c>
      <c r="E54" s="4">
        <f>'01_Main_Dataset'!B54</f>
        <v>45726</v>
      </c>
    </row>
    <row r="55" spans="2:5" ht="15.75" customHeight="1">
      <c r="B55" s="3" t="str">
        <f>'01_Main_Dataset'!A55</f>
        <v>ORD00055</v>
      </c>
      <c r="C55" s="3" t="str">
        <f>PROPER('01_Main_Dataset'!C55)</f>
        <v>South</v>
      </c>
      <c r="D55" s="3" t="str">
        <f>TRIM('01_Main_Dataset'!F55)</f>
        <v>Product55</v>
      </c>
      <c r="E55" s="4">
        <f>'01_Main_Dataset'!B55</f>
        <v>45933</v>
      </c>
    </row>
    <row r="56" spans="2:5" ht="15.75" customHeight="1">
      <c r="B56" s="3" t="str">
        <f>'01_Main_Dataset'!A56</f>
        <v>ORD00056</v>
      </c>
      <c r="C56" s="3" t="str">
        <f>PROPER('01_Main_Dataset'!C56)</f>
        <v>East</v>
      </c>
      <c r="D56" s="3" t="str">
        <f>TRIM('01_Main_Dataset'!F56)</f>
        <v>Product56</v>
      </c>
      <c r="E56" s="4">
        <f>'01_Main_Dataset'!B56</f>
        <v>45994</v>
      </c>
    </row>
    <row r="57" spans="2:5" ht="15.75" customHeight="1">
      <c r="B57" s="3" t="str">
        <f>'01_Main_Dataset'!A57</f>
        <v>ORD00057</v>
      </c>
      <c r="C57" s="3" t="str">
        <f>PROPER('01_Main_Dataset'!C57)</f>
        <v>North</v>
      </c>
      <c r="D57" s="3" t="str">
        <f>TRIM('01_Main_Dataset'!F57)</f>
        <v>Product57</v>
      </c>
      <c r="E57" s="4">
        <f>'01_Main_Dataset'!B57</f>
        <v>45735</v>
      </c>
    </row>
    <row r="58" spans="2:5" ht="15.75" customHeight="1">
      <c r="B58" s="3" t="str">
        <f>'01_Main_Dataset'!A58</f>
        <v>ORD00058</v>
      </c>
      <c r="C58" s="3" t="str">
        <f>PROPER('01_Main_Dataset'!C58)</f>
        <v>East</v>
      </c>
      <c r="D58" s="3" t="str">
        <f>TRIM('01_Main_Dataset'!F58)</f>
        <v>Product58</v>
      </c>
      <c r="E58" s="4">
        <f>'01_Main_Dataset'!B58</f>
        <v>45938</v>
      </c>
    </row>
    <row r="59" spans="2:5" ht="15.75" customHeight="1">
      <c r="B59" s="3" t="str">
        <f>'01_Main_Dataset'!A59</f>
        <v>ORD00059</v>
      </c>
      <c r="C59" s="3" t="str">
        <f>PROPER('01_Main_Dataset'!C59)</f>
        <v>North</v>
      </c>
      <c r="D59" s="3" t="str">
        <f>TRIM('01_Main_Dataset'!F59)</f>
        <v>Product59</v>
      </c>
      <c r="E59" s="4">
        <f>'01_Main_Dataset'!B59</f>
        <v>45698</v>
      </c>
    </row>
    <row r="60" spans="2:5" ht="15.75" customHeight="1">
      <c r="B60" s="3" t="str">
        <f>'01_Main_Dataset'!A60</f>
        <v>ORD00060</v>
      </c>
      <c r="C60" s="3" t="str">
        <f>PROPER('01_Main_Dataset'!C60)</f>
        <v>South</v>
      </c>
      <c r="D60" s="3" t="str">
        <f>TRIM('01_Main_Dataset'!F60)</f>
        <v>Product60</v>
      </c>
      <c r="E60" s="4">
        <f>'01_Main_Dataset'!B60</f>
        <v>45815</v>
      </c>
    </row>
    <row r="61" spans="2:5" ht="15.75" customHeight="1">
      <c r="B61" s="3" t="str">
        <f>'01_Main_Dataset'!A61</f>
        <v>ORD00061</v>
      </c>
      <c r="C61" s="3" t="str">
        <f>PROPER('01_Main_Dataset'!C61)</f>
        <v>East</v>
      </c>
      <c r="D61" s="3" t="str">
        <f>TRIM('01_Main_Dataset'!F61)</f>
        <v>Product61</v>
      </c>
      <c r="E61" s="4">
        <f>'01_Main_Dataset'!B61</f>
        <v>45904</v>
      </c>
    </row>
    <row r="62" spans="2:5" ht="15.75" customHeight="1">
      <c r="B62" s="3" t="str">
        <f>'01_Main_Dataset'!A62</f>
        <v>ORD00062</v>
      </c>
      <c r="C62" s="3" t="str">
        <f>PROPER('01_Main_Dataset'!C62)</f>
        <v>West</v>
      </c>
      <c r="D62" s="3" t="str">
        <f>TRIM('01_Main_Dataset'!F62)</f>
        <v>Product62</v>
      </c>
      <c r="E62" s="4">
        <f>'01_Main_Dataset'!B62</f>
        <v>45785</v>
      </c>
    </row>
    <row r="63" spans="2:5" ht="15.75" customHeight="1">
      <c r="B63" s="3" t="str">
        <f>'01_Main_Dataset'!A63</f>
        <v>ORD00063</v>
      </c>
      <c r="C63" s="3" t="str">
        <f>PROPER('01_Main_Dataset'!C63)</f>
        <v>West</v>
      </c>
      <c r="D63" s="3" t="str">
        <f>TRIM('01_Main_Dataset'!F63)</f>
        <v>Product63</v>
      </c>
      <c r="E63" s="4">
        <f>'01_Main_Dataset'!B63</f>
        <v>45810</v>
      </c>
    </row>
    <row r="64" spans="2:5" ht="15.75" customHeight="1">
      <c r="B64" s="3" t="str">
        <f>'01_Main_Dataset'!A64</f>
        <v>ORD00064</v>
      </c>
      <c r="C64" s="3" t="str">
        <f>PROPER('01_Main_Dataset'!C64)</f>
        <v>South</v>
      </c>
      <c r="D64" s="3" t="str">
        <f>TRIM('01_Main_Dataset'!F64)</f>
        <v>Product64</v>
      </c>
      <c r="E64" s="4">
        <f>'01_Main_Dataset'!B64</f>
        <v>45738</v>
      </c>
    </row>
    <row r="65" spans="2:5" ht="15.75" customHeight="1">
      <c r="B65" s="3" t="str">
        <f>'01_Main_Dataset'!A65</f>
        <v>ORD00065</v>
      </c>
      <c r="C65" s="3" t="str">
        <f>PROPER('01_Main_Dataset'!C65)</f>
        <v>East</v>
      </c>
      <c r="D65" s="3" t="str">
        <f>TRIM('01_Main_Dataset'!F65)</f>
        <v>Product65</v>
      </c>
      <c r="E65" s="4">
        <f>'01_Main_Dataset'!B65</f>
        <v>45896</v>
      </c>
    </row>
    <row r="66" spans="2:5" ht="15.75" customHeight="1">
      <c r="B66" s="3" t="str">
        <f>'01_Main_Dataset'!A66</f>
        <v>ORD00066</v>
      </c>
      <c r="C66" s="3" t="str">
        <f>PROPER('01_Main_Dataset'!C66)</f>
        <v>North</v>
      </c>
      <c r="D66" s="3" t="str">
        <f>TRIM('01_Main_Dataset'!F66)</f>
        <v>Product66</v>
      </c>
      <c r="E66" s="4">
        <f>'01_Main_Dataset'!B66</f>
        <v>45801</v>
      </c>
    </row>
    <row r="67" spans="2:5" ht="15.75" customHeight="1">
      <c r="B67" s="3" t="str">
        <f>'01_Main_Dataset'!A67</f>
        <v>ORD00067</v>
      </c>
      <c r="C67" s="3" t="str">
        <f>PROPER('01_Main_Dataset'!C67)</f>
        <v>East</v>
      </c>
      <c r="D67" s="3" t="str">
        <f>TRIM('01_Main_Dataset'!F67)</f>
        <v>Product67</v>
      </c>
      <c r="E67" s="4">
        <f>'01_Main_Dataset'!B67</f>
        <v>45764</v>
      </c>
    </row>
    <row r="68" spans="2:5" ht="15.75" customHeight="1">
      <c r="B68" s="3" t="str">
        <f>'01_Main_Dataset'!A68</f>
        <v>ORD00068</v>
      </c>
      <c r="C68" s="3" t="str">
        <f>PROPER('01_Main_Dataset'!C68)</f>
        <v>West</v>
      </c>
      <c r="D68" s="3" t="str">
        <f>TRIM('01_Main_Dataset'!F68)</f>
        <v>Product68</v>
      </c>
      <c r="E68" s="4">
        <f>'01_Main_Dataset'!B68</f>
        <v>45936</v>
      </c>
    </row>
    <row r="69" spans="2:5" ht="15.75" customHeight="1">
      <c r="B69" s="3" t="str">
        <f>'01_Main_Dataset'!A69</f>
        <v>ORD00069</v>
      </c>
      <c r="C69" s="3" t="str">
        <f>PROPER('01_Main_Dataset'!C69)</f>
        <v>East</v>
      </c>
      <c r="D69" s="3" t="str">
        <f>TRIM('01_Main_Dataset'!F69)</f>
        <v>Product69</v>
      </c>
      <c r="E69" s="4">
        <f>'01_Main_Dataset'!B69</f>
        <v>45870</v>
      </c>
    </row>
    <row r="70" spans="2:5" ht="15.75" customHeight="1">
      <c r="B70" s="3" t="str">
        <f>'01_Main_Dataset'!A70</f>
        <v>ORD00070</v>
      </c>
      <c r="C70" s="3" t="str">
        <f>PROPER('01_Main_Dataset'!C70)</f>
        <v>East</v>
      </c>
      <c r="D70" s="3" t="str">
        <f>TRIM('01_Main_Dataset'!F70)</f>
        <v>Product70</v>
      </c>
      <c r="E70" s="4">
        <f>'01_Main_Dataset'!B70</f>
        <v>45766</v>
      </c>
    </row>
    <row r="71" spans="2:5" ht="15.75" customHeight="1">
      <c r="B71" s="3" t="str">
        <f>'01_Main_Dataset'!A71</f>
        <v>ORD00071</v>
      </c>
      <c r="C71" s="3" t="str">
        <f>PROPER('01_Main_Dataset'!C71)</f>
        <v>South</v>
      </c>
      <c r="D71" s="3" t="str">
        <f>TRIM('01_Main_Dataset'!F71)</f>
        <v>Product71</v>
      </c>
      <c r="E71" s="4">
        <f>'01_Main_Dataset'!B71</f>
        <v>45834</v>
      </c>
    </row>
    <row r="72" spans="2:5" ht="15.75" customHeight="1">
      <c r="B72" s="3" t="str">
        <f>'01_Main_Dataset'!A72</f>
        <v>ORD00072</v>
      </c>
      <c r="C72" s="3" t="str">
        <f>PROPER('01_Main_Dataset'!C72)</f>
        <v>East</v>
      </c>
      <c r="D72" s="3" t="str">
        <f>TRIM('01_Main_Dataset'!F72)</f>
        <v>Product72</v>
      </c>
      <c r="E72" s="4">
        <f>'01_Main_Dataset'!B72</f>
        <v>45766</v>
      </c>
    </row>
    <row r="73" spans="2:5" ht="15.75" customHeight="1">
      <c r="B73" s="3" t="str">
        <f>'01_Main_Dataset'!A73</f>
        <v>ORD00073</v>
      </c>
      <c r="C73" s="3" t="str">
        <f>PROPER('01_Main_Dataset'!C73)</f>
        <v>West</v>
      </c>
      <c r="D73" s="3" t="str">
        <f>TRIM('01_Main_Dataset'!F73)</f>
        <v>Product73</v>
      </c>
      <c r="E73" s="4">
        <f>'01_Main_Dataset'!B73</f>
        <v>45673</v>
      </c>
    </row>
    <row r="74" spans="2:5" ht="15.75" customHeight="1">
      <c r="B74" s="3" t="str">
        <f>'01_Main_Dataset'!A74</f>
        <v>ORD00074</v>
      </c>
      <c r="C74" s="3" t="str">
        <f>PROPER('01_Main_Dataset'!C74)</f>
        <v>East</v>
      </c>
      <c r="D74" s="3" t="str">
        <f>TRIM('01_Main_Dataset'!F74)</f>
        <v>Product74</v>
      </c>
      <c r="E74" s="4">
        <f>'01_Main_Dataset'!B74</f>
        <v>45764</v>
      </c>
    </row>
    <row r="75" spans="2:5" ht="15.75" customHeight="1">
      <c r="B75" s="3" t="str">
        <f>'01_Main_Dataset'!A75</f>
        <v>ORD00075</v>
      </c>
      <c r="C75" s="3" t="str">
        <f>PROPER('01_Main_Dataset'!C75)</f>
        <v>East</v>
      </c>
      <c r="D75" s="3" t="str">
        <f>TRIM('01_Main_Dataset'!F75)</f>
        <v>Product75</v>
      </c>
      <c r="E75" s="4">
        <f>'01_Main_Dataset'!B75</f>
        <v>45719</v>
      </c>
    </row>
    <row r="76" spans="2:5" ht="15.75" customHeight="1">
      <c r="B76" s="3" t="str">
        <f>'01_Main_Dataset'!A76</f>
        <v>ORD00076</v>
      </c>
      <c r="C76" s="3" t="str">
        <f>PROPER('01_Main_Dataset'!C76)</f>
        <v>East</v>
      </c>
      <c r="D76" s="3" t="str">
        <f>TRIM('01_Main_Dataset'!F76)</f>
        <v>Product76</v>
      </c>
      <c r="E76" s="4">
        <f>'01_Main_Dataset'!B76</f>
        <v>45986</v>
      </c>
    </row>
    <row r="77" spans="2:5" ht="15.75" customHeight="1">
      <c r="B77" s="3" t="str">
        <f>'01_Main_Dataset'!A77</f>
        <v>ORD00077</v>
      </c>
      <c r="C77" s="3" t="str">
        <f>PROPER('01_Main_Dataset'!C77)</f>
        <v>East</v>
      </c>
      <c r="D77" s="3" t="str">
        <f>TRIM('01_Main_Dataset'!F77)</f>
        <v>Product77</v>
      </c>
      <c r="E77" s="4">
        <f>'01_Main_Dataset'!B77</f>
        <v>45878</v>
      </c>
    </row>
    <row r="78" spans="2:5" ht="15.75" customHeight="1">
      <c r="B78" s="3" t="str">
        <f>'01_Main_Dataset'!A78</f>
        <v>ORD00078</v>
      </c>
      <c r="C78" s="3" t="str">
        <f>PROPER('01_Main_Dataset'!C78)</f>
        <v>North</v>
      </c>
      <c r="D78" s="3" t="str">
        <f>TRIM('01_Main_Dataset'!F78)</f>
        <v>Product78</v>
      </c>
      <c r="E78" s="4">
        <f>'01_Main_Dataset'!B78</f>
        <v>45878</v>
      </c>
    </row>
    <row r="79" spans="2:5" ht="15.75" customHeight="1">
      <c r="B79" s="3" t="str">
        <f>'01_Main_Dataset'!A79</f>
        <v>ORD00079</v>
      </c>
      <c r="C79" s="3" t="str">
        <f>PROPER('01_Main_Dataset'!C79)</f>
        <v>South</v>
      </c>
      <c r="D79" s="3" t="str">
        <f>TRIM('01_Main_Dataset'!F79)</f>
        <v>Product79</v>
      </c>
      <c r="E79" s="4">
        <f>'01_Main_Dataset'!B79</f>
        <v>46011</v>
      </c>
    </row>
    <row r="80" spans="2: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E100"/>
  <sheetViews>
    <sheetView workbookViewId="0">
      <selection sqref="A1:A6"/>
    </sheetView>
  </sheetViews>
  <sheetFormatPr defaultColWidth="14.44140625" defaultRowHeight="15" customHeight="1"/>
  <cols>
    <col min="1" max="1" width="45.109375" bestFit="1" customWidth="1"/>
    <col min="2" max="2" width="9.6640625" bestFit="1" customWidth="1"/>
    <col min="3" max="4" width="6.77734375" bestFit="1" customWidth="1"/>
    <col min="5" max="5" width="9" bestFit="1" customWidth="1"/>
    <col min="6" max="11" width="8.6640625" customWidth="1"/>
  </cols>
  <sheetData>
    <row r="1" spans="1:5" ht="14.4">
      <c r="A1" s="10" t="s">
        <v>1223</v>
      </c>
      <c r="B1" s="5" t="s">
        <v>0</v>
      </c>
      <c r="C1" s="2" t="s">
        <v>1224</v>
      </c>
      <c r="D1" s="2" t="s">
        <v>1225</v>
      </c>
      <c r="E1" s="2" t="s">
        <v>1226</v>
      </c>
    </row>
    <row r="2" spans="1:5" ht="14.4">
      <c r="A2" s="11" t="s">
        <v>1236</v>
      </c>
      <c r="B2" s="6" t="str">
        <f>'01_Main_Dataset'!A2</f>
        <v>ORD00002</v>
      </c>
      <c r="C2" s="3">
        <f>YEAR('01_Main_Dataset'!B2)</f>
        <v>2025</v>
      </c>
      <c r="D2" s="3" t="str">
        <f>TEXT('01_Main_Dataset'!B2,"MMM")</f>
        <v>Oct</v>
      </c>
      <c r="E2" s="3">
        <f>'01_Main_Dataset'!I2*'01_Main_Dataset'!J2</f>
        <v>4858.1000000000004</v>
      </c>
    </row>
    <row r="3" spans="1:5" ht="14.4">
      <c r="A3" s="11" t="s">
        <v>1237</v>
      </c>
      <c r="B3" s="6" t="str">
        <f>'01_Main_Dataset'!A3</f>
        <v>ORD00003</v>
      </c>
      <c r="C3" s="3">
        <f>YEAR('01_Main_Dataset'!B3)</f>
        <v>2025</v>
      </c>
      <c r="D3" s="3" t="str">
        <f>TEXT('01_Main_Dataset'!B3,"MMM")</f>
        <v>Sep</v>
      </c>
      <c r="E3" s="3">
        <f>'01_Main_Dataset'!I3*'01_Main_Dataset'!J3</f>
        <v>1460.4</v>
      </c>
    </row>
    <row r="4" spans="1:5" ht="14.4">
      <c r="A4" s="11" t="s">
        <v>1238</v>
      </c>
      <c r="B4" s="6" t="str">
        <f>'01_Main_Dataset'!A4</f>
        <v>ORD00004</v>
      </c>
      <c r="C4" s="3">
        <f>YEAR('01_Main_Dataset'!B4)</f>
        <v>2025</v>
      </c>
      <c r="D4" s="3" t="str">
        <f>TEXT('01_Main_Dataset'!B4,"MMM")</f>
        <v>Jan</v>
      </c>
      <c r="E4" s="3">
        <f>'01_Main_Dataset'!I4*'01_Main_Dataset'!J4</f>
        <v>1192.44</v>
      </c>
    </row>
    <row r="5" spans="1:5" ht="14.4">
      <c r="A5" s="11" t="s">
        <v>1239</v>
      </c>
      <c r="B5" s="6" t="str">
        <f>'01_Main_Dataset'!A5</f>
        <v>ORD00005</v>
      </c>
      <c r="C5" s="3">
        <f>YEAR('01_Main_Dataset'!B5)</f>
        <v>2025</v>
      </c>
      <c r="D5" s="3" t="str">
        <f>TEXT('01_Main_Dataset'!B5,"MMM")</f>
        <v>Jan</v>
      </c>
      <c r="E5" s="3">
        <f>'01_Main_Dataset'!I5*'01_Main_Dataset'!J5</f>
        <v>713.06</v>
      </c>
    </row>
    <row r="6" spans="1:5" thickBot="1">
      <c r="A6" s="12" t="s">
        <v>1240</v>
      </c>
      <c r="B6" s="6" t="str">
        <f>'01_Main_Dataset'!A6</f>
        <v>ORD00006</v>
      </c>
      <c r="C6" s="3">
        <f>YEAR('01_Main_Dataset'!B6)</f>
        <v>2025</v>
      </c>
      <c r="D6" s="3" t="str">
        <f>TEXT('01_Main_Dataset'!B6,"MMM")</f>
        <v>Mar</v>
      </c>
      <c r="E6" s="3">
        <f>'01_Main_Dataset'!I6*'01_Main_Dataset'!J6</f>
        <v>2075.84</v>
      </c>
    </row>
    <row r="7" spans="1:5" ht="14.4">
      <c r="B7" s="3" t="str">
        <f>'01_Main_Dataset'!A7</f>
        <v>ORD00007</v>
      </c>
      <c r="C7" s="3">
        <f>YEAR('01_Main_Dataset'!B7)</f>
        <v>2025</v>
      </c>
      <c r="D7" s="3" t="str">
        <f>TEXT('01_Main_Dataset'!B7,"MMM")</f>
        <v>Nov</v>
      </c>
      <c r="E7" s="3">
        <f>'01_Main_Dataset'!I7*'01_Main_Dataset'!J7</f>
        <v>3260.1499999999996</v>
      </c>
    </row>
    <row r="8" spans="1:5" ht="14.4">
      <c r="B8" s="3" t="str">
        <f>'01_Main_Dataset'!A8</f>
        <v>ORD00008</v>
      </c>
      <c r="C8" s="3">
        <f>YEAR('01_Main_Dataset'!B8)</f>
        <v>2025</v>
      </c>
      <c r="D8" s="3" t="str">
        <f>TEXT('01_Main_Dataset'!B8,"MMM")</f>
        <v>Feb</v>
      </c>
      <c r="E8" s="3">
        <f>'01_Main_Dataset'!I8*'01_Main_Dataset'!J8</f>
        <v>2520.98</v>
      </c>
    </row>
    <row r="9" spans="1:5" ht="14.4">
      <c r="B9" s="3" t="str">
        <f>'01_Main_Dataset'!A9</f>
        <v>ORD00009</v>
      </c>
      <c r="C9" s="3">
        <f>YEAR('01_Main_Dataset'!B9)</f>
        <v>2025</v>
      </c>
      <c r="D9" s="3" t="str">
        <f>TEXT('01_Main_Dataset'!B9,"MMM")</f>
        <v>Feb</v>
      </c>
      <c r="E9" s="3">
        <f>'01_Main_Dataset'!I9*'01_Main_Dataset'!J9</f>
        <v>9385.76</v>
      </c>
    </row>
    <row r="10" spans="1:5" ht="14.4">
      <c r="B10" s="3" t="str">
        <f>'01_Main_Dataset'!A10</f>
        <v>ORD00010</v>
      </c>
      <c r="C10" s="3">
        <f>YEAR('01_Main_Dataset'!B10)</f>
        <v>2025</v>
      </c>
      <c r="D10" s="3" t="str">
        <f>TEXT('01_Main_Dataset'!B10,"MMM")</f>
        <v>Dec</v>
      </c>
      <c r="E10" s="3">
        <f>'01_Main_Dataset'!I10*'01_Main_Dataset'!J10</f>
        <v>2810.07</v>
      </c>
    </row>
    <row r="11" spans="1:5" ht="14.4">
      <c r="B11" s="3" t="str">
        <f>'01_Main_Dataset'!A11</f>
        <v>ORD00011</v>
      </c>
      <c r="C11" s="3">
        <f>YEAR('01_Main_Dataset'!B11)</f>
        <v>2025</v>
      </c>
      <c r="D11" s="3" t="str">
        <f>TEXT('01_Main_Dataset'!B11,"MMM")</f>
        <v>May</v>
      </c>
      <c r="E11" s="3">
        <f>'01_Main_Dataset'!I11*'01_Main_Dataset'!J11</f>
        <v>17979.400000000001</v>
      </c>
    </row>
    <row r="12" spans="1:5" ht="14.4">
      <c r="B12" s="3" t="str">
        <f>'01_Main_Dataset'!A12</f>
        <v>ORD00012</v>
      </c>
      <c r="C12" s="3">
        <f>YEAR('01_Main_Dataset'!B12)</f>
        <v>2025</v>
      </c>
      <c r="D12" s="3" t="str">
        <f>TEXT('01_Main_Dataset'!B12,"MMM")</f>
        <v>Nov</v>
      </c>
      <c r="E12" s="3">
        <f>'01_Main_Dataset'!I12*'01_Main_Dataset'!J12</f>
        <v>1781.4</v>
      </c>
    </row>
    <row r="13" spans="1:5" ht="14.4">
      <c r="B13" s="3" t="str">
        <f>'01_Main_Dataset'!A13</f>
        <v>ORD00013</v>
      </c>
      <c r="C13" s="3">
        <f>YEAR('01_Main_Dataset'!B13)</f>
        <v>2025</v>
      </c>
      <c r="D13" s="3" t="str">
        <f>TEXT('01_Main_Dataset'!B13,"MMM")</f>
        <v>Sep</v>
      </c>
      <c r="E13" s="3">
        <f>'01_Main_Dataset'!I13*'01_Main_Dataset'!J13</f>
        <v>10845.63</v>
      </c>
    </row>
    <row r="14" spans="1:5" ht="14.4">
      <c r="B14" s="3" t="str">
        <f>'01_Main_Dataset'!A14</f>
        <v>ORD00014</v>
      </c>
      <c r="C14" s="3">
        <f>YEAR('01_Main_Dataset'!B14)</f>
        <v>2025</v>
      </c>
      <c r="D14" s="3" t="str">
        <f>TEXT('01_Main_Dataset'!B14,"MMM")</f>
        <v>Sep</v>
      </c>
      <c r="E14" s="3">
        <f>'01_Main_Dataset'!I14*'01_Main_Dataset'!J14</f>
        <v>913.99</v>
      </c>
    </row>
    <row r="15" spans="1:5" ht="14.4">
      <c r="B15" s="3" t="str">
        <f>'01_Main_Dataset'!A15</f>
        <v>ORD00015</v>
      </c>
      <c r="C15" s="3">
        <f>YEAR('01_Main_Dataset'!B15)</f>
        <v>2025</v>
      </c>
      <c r="D15" s="3" t="str">
        <f>TEXT('01_Main_Dataset'!B15,"MMM")</f>
        <v>Jun</v>
      </c>
      <c r="E15" s="3">
        <f>'01_Main_Dataset'!I15*'01_Main_Dataset'!J15</f>
        <v>5172.16</v>
      </c>
    </row>
    <row r="16" spans="1:5" ht="14.4">
      <c r="B16" s="3" t="str">
        <f>'01_Main_Dataset'!A16</f>
        <v>ORD00016</v>
      </c>
      <c r="C16" s="3">
        <f>YEAR('01_Main_Dataset'!B16)</f>
        <v>2025</v>
      </c>
      <c r="D16" s="3" t="str">
        <f>TEXT('01_Main_Dataset'!B16,"MMM")</f>
        <v>Nov</v>
      </c>
      <c r="E16" s="3">
        <f>'01_Main_Dataset'!I16*'01_Main_Dataset'!J16</f>
        <v>3754.25</v>
      </c>
    </row>
    <row r="17" spans="2:5" ht="14.4">
      <c r="B17" s="3" t="str">
        <f>'01_Main_Dataset'!A17</f>
        <v>ORD00017</v>
      </c>
      <c r="C17" s="3">
        <f>YEAR('01_Main_Dataset'!B17)</f>
        <v>2025</v>
      </c>
      <c r="D17" s="3" t="str">
        <f>TEXT('01_Main_Dataset'!B17,"MMM")</f>
        <v>Aug</v>
      </c>
      <c r="E17" s="3">
        <f>'01_Main_Dataset'!I17*'01_Main_Dataset'!J17</f>
        <v>2393</v>
      </c>
    </row>
    <row r="18" spans="2:5" ht="14.4">
      <c r="B18" s="3" t="str">
        <f>'01_Main_Dataset'!A18</f>
        <v>ORD00018</v>
      </c>
      <c r="C18" s="3">
        <f>YEAR('01_Main_Dataset'!B18)</f>
        <v>2025</v>
      </c>
      <c r="D18" s="3" t="str">
        <f>TEXT('01_Main_Dataset'!B18,"MMM")</f>
        <v>Apr</v>
      </c>
      <c r="E18" s="3">
        <f>'01_Main_Dataset'!I18*'01_Main_Dataset'!J18</f>
        <v>2084.38</v>
      </c>
    </row>
    <row r="19" spans="2:5" ht="14.4">
      <c r="B19" s="3" t="str">
        <f>'01_Main_Dataset'!A19</f>
        <v>ORD00019</v>
      </c>
      <c r="C19" s="3">
        <f>YEAR('01_Main_Dataset'!B19)</f>
        <v>2025</v>
      </c>
      <c r="D19" s="3" t="str">
        <f>TEXT('01_Main_Dataset'!B19,"MMM")</f>
        <v>Feb</v>
      </c>
      <c r="E19" s="3">
        <f>'01_Main_Dataset'!I19*'01_Main_Dataset'!J19</f>
        <v>4116.54</v>
      </c>
    </row>
    <row r="20" spans="2:5" ht="14.4">
      <c r="B20" s="3" t="str">
        <f>'01_Main_Dataset'!A20</f>
        <v>ORD00020</v>
      </c>
      <c r="C20" s="3">
        <f>YEAR('01_Main_Dataset'!B20)</f>
        <v>2025</v>
      </c>
      <c r="D20" s="3" t="str">
        <f>TEXT('01_Main_Dataset'!B20,"MMM")</f>
        <v>Nov</v>
      </c>
      <c r="E20" s="3">
        <f>'01_Main_Dataset'!I20*'01_Main_Dataset'!J20</f>
        <v>5664.28</v>
      </c>
    </row>
    <row r="21" spans="2:5" ht="15.75" customHeight="1">
      <c r="B21" s="3" t="str">
        <f>'01_Main_Dataset'!A21</f>
        <v>ORD00021</v>
      </c>
      <c r="C21" s="3">
        <f>YEAR('01_Main_Dataset'!B21)</f>
        <v>2025</v>
      </c>
      <c r="D21" s="3" t="str">
        <f>TEXT('01_Main_Dataset'!B21,"MMM")</f>
        <v>Sep</v>
      </c>
      <c r="E21" s="3">
        <f>'01_Main_Dataset'!I21*'01_Main_Dataset'!J21</f>
        <v>5720.9000000000005</v>
      </c>
    </row>
    <row r="22" spans="2:5" ht="15.75" customHeight="1">
      <c r="B22" s="3" t="str">
        <f>'01_Main_Dataset'!A22</f>
        <v>ORD00022</v>
      </c>
      <c r="C22" s="3">
        <f>YEAR('01_Main_Dataset'!B22)</f>
        <v>2025</v>
      </c>
      <c r="D22" s="3" t="str">
        <f>TEXT('01_Main_Dataset'!B22,"MMM")</f>
        <v>Aug</v>
      </c>
      <c r="E22" s="3">
        <f>'01_Main_Dataset'!I22*'01_Main_Dataset'!J22</f>
        <v>1263.6499999999999</v>
      </c>
    </row>
    <row r="23" spans="2:5" ht="15.75" customHeight="1">
      <c r="B23" s="3" t="str">
        <f>'01_Main_Dataset'!A23</f>
        <v>ORD00023</v>
      </c>
      <c r="C23" s="3">
        <f>YEAR('01_Main_Dataset'!B23)</f>
        <v>2025</v>
      </c>
      <c r="D23" s="3" t="str">
        <f>TEXT('01_Main_Dataset'!B23,"MMM")</f>
        <v>Dec</v>
      </c>
      <c r="E23" s="3">
        <f>'01_Main_Dataset'!I23*'01_Main_Dataset'!J23</f>
        <v>14671.7</v>
      </c>
    </row>
    <row r="24" spans="2:5" ht="15.75" customHeight="1">
      <c r="B24" s="3" t="str">
        <f>'01_Main_Dataset'!A24</f>
        <v>ORD00024</v>
      </c>
      <c r="C24" s="3">
        <f>YEAR('01_Main_Dataset'!B24)</f>
        <v>2025</v>
      </c>
      <c r="D24" s="3" t="str">
        <f>TEXT('01_Main_Dataset'!B24,"MMM")</f>
        <v>Jan</v>
      </c>
      <c r="E24" s="3">
        <f>'01_Main_Dataset'!I24*'01_Main_Dataset'!J24</f>
        <v>1878.96</v>
      </c>
    </row>
    <row r="25" spans="2:5" ht="15.75" customHeight="1">
      <c r="B25" s="3" t="str">
        <f>'01_Main_Dataset'!A25</f>
        <v>ORD00025</v>
      </c>
      <c r="C25" s="3">
        <f>YEAR('01_Main_Dataset'!B25)</f>
        <v>2025</v>
      </c>
      <c r="D25" s="3" t="str">
        <f>TEXT('01_Main_Dataset'!B25,"MMM")</f>
        <v>Jul</v>
      </c>
      <c r="E25" s="3">
        <f>'01_Main_Dataset'!I25*'01_Main_Dataset'!J25</f>
        <v>6787.36</v>
      </c>
    </row>
    <row r="26" spans="2:5" ht="15.75" customHeight="1">
      <c r="B26" s="3" t="str">
        <f>'01_Main_Dataset'!A26</f>
        <v>ORD00026</v>
      </c>
      <c r="C26" s="3">
        <f>YEAR('01_Main_Dataset'!B26)</f>
        <v>2025</v>
      </c>
      <c r="D26" s="3" t="str">
        <f>TEXT('01_Main_Dataset'!B26,"MMM")</f>
        <v>Mar</v>
      </c>
      <c r="E26" s="3">
        <f>'01_Main_Dataset'!I26*'01_Main_Dataset'!J26</f>
        <v>6308.08</v>
      </c>
    </row>
    <row r="27" spans="2:5" ht="15.75" customHeight="1">
      <c r="B27" s="3" t="str">
        <f>'01_Main_Dataset'!A27</f>
        <v>ORD00027</v>
      </c>
      <c r="C27" s="3">
        <f>YEAR('01_Main_Dataset'!B27)</f>
        <v>2025</v>
      </c>
      <c r="D27" s="3" t="str">
        <f>TEXT('01_Main_Dataset'!B27,"MMM")</f>
        <v>Jan</v>
      </c>
      <c r="E27" s="3">
        <f>'01_Main_Dataset'!I27*'01_Main_Dataset'!J27</f>
        <v>5676.08</v>
      </c>
    </row>
    <row r="28" spans="2:5" ht="15.75" customHeight="1">
      <c r="B28" s="3" t="str">
        <f>'01_Main_Dataset'!A28</f>
        <v>ORD00028</v>
      </c>
      <c r="C28" s="3">
        <f>YEAR('01_Main_Dataset'!B28)</f>
        <v>2025</v>
      </c>
      <c r="D28" s="3" t="str">
        <f>TEXT('01_Main_Dataset'!B28,"MMM")</f>
        <v>Nov</v>
      </c>
      <c r="E28" s="3">
        <f>'01_Main_Dataset'!I28*'01_Main_Dataset'!J28</f>
        <v>954.90000000000009</v>
      </c>
    </row>
    <row r="29" spans="2:5" ht="15.75" customHeight="1">
      <c r="B29" s="3" t="str">
        <f>'01_Main_Dataset'!A29</f>
        <v>ORD00029</v>
      </c>
      <c r="C29" s="3">
        <f>YEAR('01_Main_Dataset'!B29)</f>
        <v>2025</v>
      </c>
      <c r="D29" s="3" t="str">
        <f>TEXT('01_Main_Dataset'!B29,"MMM")</f>
        <v>Oct</v>
      </c>
      <c r="E29" s="3">
        <f>'01_Main_Dataset'!I29*'01_Main_Dataset'!J29</f>
        <v>3901.71</v>
      </c>
    </row>
    <row r="30" spans="2:5" ht="15.75" customHeight="1">
      <c r="B30" s="3" t="str">
        <f>'01_Main_Dataset'!A30</f>
        <v>ORD00030</v>
      </c>
      <c r="C30" s="3">
        <f>YEAR('01_Main_Dataset'!B30)</f>
        <v>2025</v>
      </c>
      <c r="D30" s="3" t="str">
        <f>TEXT('01_Main_Dataset'!B30,"MMM")</f>
        <v>Dec</v>
      </c>
      <c r="E30" s="3">
        <f>'01_Main_Dataset'!I30*'01_Main_Dataset'!J30</f>
        <v>983.84</v>
      </c>
    </row>
    <row r="31" spans="2:5" ht="15.75" customHeight="1">
      <c r="B31" s="3" t="str">
        <f>'01_Main_Dataset'!A31</f>
        <v>ORD00031</v>
      </c>
      <c r="C31" s="3">
        <f>YEAR('01_Main_Dataset'!B31)</f>
        <v>2025</v>
      </c>
      <c r="D31" s="3" t="str">
        <f>TEXT('01_Main_Dataset'!B31,"MMM")</f>
        <v>Feb</v>
      </c>
      <c r="E31" s="3">
        <f>'01_Main_Dataset'!I31*'01_Main_Dataset'!J31</f>
        <v>16544.34</v>
      </c>
    </row>
    <row r="32" spans="2:5" ht="15.75" customHeight="1">
      <c r="B32" s="3" t="str">
        <f>'01_Main_Dataset'!A32</f>
        <v>ORD00032</v>
      </c>
      <c r="C32" s="3">
        <f>YEAR('01_Main_Dataset'!B32)</f>
        <v>2025</v>
      </c>
      <c r="D32" s="3" t="str">
        <f>TEXT('01_Main_Dataset'!B32,"MMM")</f>
        <v>Jul</v>
      </c>
      <c r="E32" s="3">
        <f>'01_Main_Dataset'!I32*'01_Main_Dataset'!J32</f>
        <v>974.30000000000007</v>
      </c>
    </row>
    <row r="33" spans="2:5" ht="15.75" customHeight="1">
      <c r="B33" s="3" t="str">
        <f>'01_Main_Dataset'!A33</f>
        <v>ORD00033</v>
      </c>
      <c r="C33" s="3">
        <f>YEAR('01_Main_Dataset'!B33)</f>
        <v>2025</v>
      </c>
      <c r="D33" s="3" t="str">
        <f>TEXT('01_Main_Dataset'!B33,"MMM")</f>
        <v>May</v>
      </c>
      <c r="E33" s="3">
        <f>'01_Main_Dataset'!I33*'01_Main_Dataset'!J33</f>
        <v>2482.2600000000002</v>
      </c>
    </row>
    <row r="34" spans="2:5" ht="15.75" customHeight="1">
      <c r="B34" s="3" t="str">
        <f>'01_Main_Dataset'!A34</f>
        <v>ORD00034</v>
      </c>
      <c r="C34" s="3">
        <f>YEAR('01_Main_Dataset'!B34)</f>
        <v>2025</v>
      </c>
      <c r="D34" s="3" t="str">
        <f>TEXT('01_Main_Dataset'!B34,"MMM")</f>
        <v>Mar</v>
      </c>
      <c r="E34" s="3">
        <f>'01_Main_Dataset'!I34*'01_Main_Dataset'!J34</f>
        <v>17699.100000000002</v>
      </c>
    </row>
    <row r="35" spans="2:5" ht="15.75" customHeight="1">
      <c r="B35" s="3" t="str">
        <f>'01_Main_Dataset'!A35</f>
        <v>ORD00035</v>
      </c>
      <c r="C35" s="3">
        <f>YEAR('01_Main_Dataset'!B35)</f>
        <v>2025</v>
      </c>
      <c r="D35" s="3" t="str">
        <f>TEXT('01_Main_Dataset'!B35,"MMM")</f>
        <v>Aug</v>
      </c>
      <c r="E35" s="3">
        <f>'01_Main_Dataset'!I35*'01_Main_Dataset'!J35</f>
        <v>5645.3099999999995</v>
      </c>
    </row>
    <row r="36" spans="2:5" ht="15.75" customHeight="1">
      <c r="B36" s="3" t="str">
        <f>'01_Main_Dataset'!A36</f>
        <v>ORD00036</v>
      </c>
      <c r="C36" s="3">
        <f>YEAR('01_Main_Dataset'!B36)</f>
        <v>2025</v>
      </c>
      <c r="D36" s="3" t="str">
        <f>TEXT('01_Main_Dataset'!B36,"MMM")</f>
        <v>Jul</v>
      </c>
      <c r="E36" s="3">
        <f>'01_Main_Dataset'!I36*'01_Main_Dataset'!J36</f>
        <v>5944.08</v>
      </c>
    </row>
    <row r="37" spans="2:5" ht="15.75" customHeight="1">
      <c r="B37" s="3" t="str">
        <f>'01_Main_Dataset'!A37</f>
        <v>ORD00037</v>
      </c>
      <c r="C37" s="3">
        <f>YEAR('01_Main_Dataset'!B37)</f>
        <v>2025</v>
      </c>
      <c r="D37" s="3" t="str">
        <f>TEXT('01_Main_Dataset'!B37,"MMM")</f>
        <v>Oct</v>
      </c>
      <c r="E37" s="3">
        <f>'01_Main_Dataset'!I37*'01_Main_Dataset'!J37</f>
        <v>1541.36</v>
      </c>
    </row>
    <row r="38" spans="2:5" ht="15.75" customHeight="1">
      <c r="B38" s="3" t="str">
        <f>'01_Main_Dataset'!A38</f>
        <v>ORD00038</v>
      </c>
      <c r="C38" s="3">
        <f>YEAR('01_Main_Dataset'!B38)</f>
        <v>2025</v>
      </c>
      <c r="D38" s="3" t="str">
        <f>TEXT('01_Main_Dataset'!B38,"MMM")</f>
        <v>Oct</v>
      </c>
      <c r="E38" s="3">
        <f>'01_Main_Dataset'!I38*'01_Main_Dataset'!J38</f>
        <v>940.10000000000014</v>
      </c>
    </row>
    <row r="39" spans="2:5" ht="15.75" customHeight="1">
      <c r="B39" s="3" t="str">
        <f>'01_Main_Dataset'!A39</f>
        <v>ORD00039</v>
      </c>
      <c r="C39" s="3">
        <f>YEAR('01_Main_Dataset'!B39)</f>
        <v>2025</v>
      </c>
      <c r="D39" s="3" t="str">
        <f>TEXT('01_Main_Dataset'!B39,"MMM")</f>
        <v>Jan</v>
      </c>
      <c r="E39" s="3">
        <f>'01_Main_Dataset'!I39*'01_Main_Dataset'!J39</f>
        <v>17585.3</v>
      </c>
    </row>
    <row r="40" spans="2:5" ht="15.75" customHeight="1">
      <c r="B40" s="3" t="str">
        <f>'01_Main_Dataset'!A40</f>
        <v>ORD00040</v>
      </c>
      <c r="C40" s="3">
        <f>YEAR('01_Main_Dataset'!B40)</f>
        <v>2025</v>
      </c>
      <c r="D40" s="3" t="str">
        <f>TEXT('01_Main_Dataset'!B40,"MMM")</f>
        <v>Dec</v>
      </c>
      <c r="E40" s="3">
        <f>'01_Main_Dataset'!I40*'01_Main_Dataset'!J40</f>
        <v>4703.8999999999996</v>
      </c>
    </row>
    <row r="41" spans="2:5" ht="15.75" customHeight="1">
      <c r="B41" s="3" t="str">
        <f>'01_Main_Dataset'!A41</f>
        <v>ORD00041</v>
      </c>
      <c r="C41" s="3">
        <f>YEAR('01_Main_Dataset'!B41)</f>
        <v>2025</v>
      </c>
      <c r="D41" s="3" t="str">
        <f>TEXT('01_Main_Dataset'!B41,"MMM")</f>
        <v>Nov</v>
      </c>
      <c r="E41" s="3">
        <f>'01_Main_Dataset'!I41*'01_Main_Dataset'!J41</f>
        <v>4468.08</v>
      </c>
    </row>
    <row r="42" spans="2:5" ht="15.75" customHeight="1">
      <c r="B42" s="3" t="str">
        <f>'01_Main_Dataset'!A42</f>
        <v>ORD00042</v>
      </c>
      <c r="C42" s="3">
        <f>YEAR('01_Main_Dataset'!B42)</f>
        <v>2025</v>
      </c>
      <c r="D42" s="3" t="str">
        <f>TEXT('01_Main_Dataset'!B42,"MMM")</f>
        <v>Aug</v>
      </c>
      <c r="E42" s="3">
        <f>'01_Main_Dataset'!I42*'01_Main_Dataset'!J42</f>
        <v>10633.6</v>
      </c>
    </row>
    <row r="43" spans="2:5" ht="15.75" customHeight="1">
      <c r="B43" s="3" t="str">
        <f>'01_Main_Dataset'!A43</f>
        <v>ORD00043</v>
      </c>
      <c r="C43" s="3">
        <f>YEAR('01_Main_Dataset'!B43)</f>
        <v>2025</v>
      </c>
      <c r="D43" s="3" t="str">
        <f>TEXT('01_Main_Dataset'!B43,"MMM")</f>
        <v>Sep</v>
      </c>
      <c r="E43" s="3">
        <f>'01_Main_Dataset'!I43*'01_Main_Dataset'!J43</f>
        <v>3692.5</v>
      </c>
    </row>
    <row r="44" spans="2:5" ht="15.75" customHeight="1">
      <c r="B44" s="3" t="str">
        <f>'01_Main_Dataset'!A44</f>
        <v>ORD00044</v>
      </c>
      <c r="C44" s="3">
        <f>YEAR('01_Main_Dataset'!B44)</f>
        <v>2025</v>
      </c>
      <c r="D44" s="3" t="str">
        <f>TEXT('01_Main_Dataset'!B44,"MMM")</f>
        <v>Feb</v>
      </c>
      <c r="E44" s="3">
        <f>'01_Main_Dataset'!I44*'01_Main_Dataset'!J44</f>
        <v>5829.84</v>
      </c>
    </row>
    <row r="45" spans="2:5" ht="15.75" customHeight="1">
      <c r="B45" s="3" t="str">
        <f>'01_Main_Dataset'!A45</f>
        <v>ORD00045</v>
      </c>
      <c r="C45" s="3">
        <f>YEAR('01_Main_Dataset'!B45)</f>
        <v>2025</v>
      </c>
      <c r="D45" s="3" t="str">
        <f>TEXT('01_Main_Dataset'!B45,"MMM")</f>
        <v>Oct</v>
      </c>
      <c r="E45" s="3">
        <f>'01_Main_Dataset'!I45*'01_Main_Dataset'!J45</f>
        <v>17536.59</v>
      </c>
    </row>
    <row r="46" spans="2:5" ht="15.75" customHeight="1">
      <c r="B46" s="3" t="str">
        <f>'01_Main_Dataset'!A46</f>
        <v>ORD00046</v>
      </c>
      <c r="C46" s="3">
        <f>YEAR('01_Main_Dataset'!B46)</f>
        <v>2025</v>
      </c>
      <c r="D46" s="3" t="str">
        <f>TEXT('01_Main_Dataset'!B46,"MMM")</f>
        <v>Mar</v>
      </c>
      <c r="E46" s="3">
        <f>'01_Main_Dataset'!I46*'01_Main_Dataset'!J46</f>
        <v>4945.92</v>
      </c>
    </row>
    <row r="47" spans="2:5" ht="15.75" customHeight="1">
      <c r="B47" s="3" t="str">
        <f>'01_Main_Dataset'!A47</f>
        <v>ORD00047</v>
      </c>
      <c r="C47" s="3">
        <f>YEAR('01_Main_Dataset'!B47)</f>
        <v>2025</v>
      </c>
      <c r="D47" s="3" t="str">
        <f>TEXT('01_Main_Dataset'!B47,"MMM")</f>
        <v>Jan</v>
      </c>
      <c r="E47" s="3">
        <f>'01_Main_Dataset'!I47*'01_Main_Dataset'!J47</f>
        <v>908</v>
      </c>
    </row>
    <row r="48" spans="2:5" ht="15.75" customHeight="1">
      <c r="B48" s="3" t="str">
        <f>'01_Main_Dataset'!A48</f>
        <v>ORD00048</v>
      </c>
      <c r="C48" s="3">
        <f>YEAR('01_Main_Dataset'!B48)</f>
        <v>2025</v>
      </c>
      <c r="D48" s="3" t="str">
        <f>TEXT('01_Main_Dataset'!B48,"MMM")</f>
        <v>Apr</v>
      </c>
      <c r="E48" s="3">
        <f>'01_Main_Dataset'!I48*'01_Main_Dataset'!J48</f>
        <v>17404.100000000002</v>
      </c>
    </row>
    <row r="49" spans="2:5" ht="15.75" customHeight="1">
      <c r="B49" s="3" t="str">
        <f>'01_Main_Dataset'!A49</f>
        <v>ORD00049</v>
      </c>
      <c r="C49" s="3">
        <f>YEAR('01_Main_Dataset'!B49)</f>
        <v>2025</v>
      </c>
      <c r="D49" s="3" t="str">
        <f>TEXT('01_Main_Dataset'!B49,"MMM")</f>
        <v>Feb</v>
      </c>
      <c r="E49" s="3">
        <f>'01_Main_Dataset'!I49*'01_Main_Dataset'!J49</f>
        <v>8093.92</v>
      </c>
    </row>
    <row r="50" spans="2:5" ht="15.75" customHeight="1">
      <c r="B50" s="3" t="str">
        <f>'01_Main_Dataset'!A50</f>
        <v>ORD00050</v>
      </c>
      <c r="C50" s="3">
        <f>YEAR('01_Main_Dataset'!B50)</f>
        <v>2025</v>
      </c>
      <c r="D50" s="3" t="str">
        <f>TEXT('01_Main_Dataset'!B50,"MMM")</f>
        <v>Mar</v>
      </c>
      <c r="E50" s="3">
        <f>'01_Main_Dataset'!I50*'01_Main_Dataset'!J50</f>
        <v>10982.51</v>
      </c>
    </row>
    <row r="51" spans="2:5" ht="15.75" customHeight="1">
      <c r="B51" s="3" t="str">
        <f>'01_Main_Dataset'!A51</f>
        <v>ORD00051</v>
      </c>
      <c r="C51" s="3">
        <f>YEAR('01_Main_Dataset'!B51)</f>
        <v>2025</v>
      </c>
      <c r="D51" s="3" t="str">
        <f>TEXT('01_Main_Dataset'!B51,"MMM")</f>
        <v>Mar</v>
      </c>
      <c r="E51" s="3">
        <f>'01_Main_Dataset'!I51*'01_Main_Dataset'!J51</f>
        <v>2732.08</v>
      </c>
    </row>
    <row r="52" spans="2:5" ht="15.75" customHeight="1">
      <c r="B52" s="3" t="str">
        <f>'01_Main_Dataset'!A52</f>
        <v>ORD00052</v>
      </c>
      <c r="C52" s="3">
        <f>YEAR('01_Main_Dataset'!B52)</f>
        <v>2025</v>
      </c>
      <c r="D52" s="3" t="str">
        <f>TEXT('01_Main_Dataset'!B52,"MMM")</f>
        <v>Mar</v>
      </c>
      <c r="E52" s="3">
        <f>'01_Main_Dataset'!I52*'01_Main_Dataset'!J52</f>
        <v>1496.75</v>
      </c>
    </row>
    <row r="53" spans="2:5" ht="15.75" customHeight="1">
      <c r="B53" s="3" t="str">
        <f>'01_Main_Dataset'!A53</f>
        <v>ORD00053</v>
      </c>
      <c r="C53" s="3">
        <f>YEAR('01_Main_Dataset'!B53)</f>
        <v>2025</v>
      </c>
      <c r="D53" s="3" t="str">
        <f>TEXT('01_Main_Dataset'!B53,"MMM")</f>
        <v>May</v>
      </c>
      <c r="E53" s="3">
        <f>'01_Main_Dataset'!I53*'01_Main_Dataset'!J53</f>
        <v>3823.38</v>
      </c>
    </row>
    <row r="54" spans="2:5" ht="15.75" customHeight="1">
      <c r="B54" s="3" t="str">
        <f>'01_Main_Dataset'!A54</f>
        <v>ORD00054</v>
      </c>
      <c r="C54" s="3">
        <f>YEAR('01_Main_Dataset'!B54)</f>
        <v>2025</v>
      </c>
      <c r="D54" s="3" t="str">
        <f>TEXT('01_Main_Dataset'!B54,"MMM")</f>
        <v>Mar</v>
      </c>
      <c r="E54" s="3">
        <f>'01_Main_Dataset'!I54*'01_Main_Dataset'!J54</f>
        <v>13964.86</v>
      </c>
    </row>
    <row r="55" spans="2:5" ht="15.75" customHeight="1">
      <c r="B55" s="3" t="str">
        <f>'01_Main_Dataset'!A55</f>
        <v>ORD00055</v>
      </c>
      <c r="C55" s="3">
        <f>YEAR('01_Main_Dataset'!B55)</f>
        <v>2025</v>
      </c>
      <c r="D55" s="3" t="str">
        <f>TEXT('01_Main_Dataset'!B55,"MMM")</f>
        <v>Oct</v>
      </c>
      <c r="E55" s="3">
        <f>'01_Main_Dataset'!I55*'01_Main_Dataset'!J55</f>
        <v>17736.84</v>
      </c>
    </row>
    <row r="56" spans="2:5" ht="15.75" customHeight="1">
      <c r="B56" s="3" t="str">
        <f>'01_Main_Dataset'!A56</f>
        <v>ORD00056</v>
      </c>
      <c r="C56" s="3">
        <f>YEAR('01_Main_Dataset'!B56)</f>
        <v>2025</v>
      </c>
      <c r="D56" s="3" t="str">
        <f>TEXT('01_Main_Dataset'!B56,"MMM")</f>
        <v>Dec</v>
      </c>
      <c r="E56" s="3">
        <f>'01_Main_Dataset'!I56*'01_Main_Dataset'!J56</f>
        <v>5378.16</v>
      </c>
    </row>
    <row r="57" spans="2:5" ht="15.75" customHeight="1">
      <c r="B57" s="3" t="str">
        <f>'01_Main_Dataset'!A57</f>
        <v>ORD00057</v>
      </c>
      <c r="C57" s="3">
        <f>YEAR('01_Main_Dataset'!B57)</f>
        <v>2025</v>
      </c>
      <c r="D57" s="3" t="str">
        <f>TEXT('01_Main_Dataset'!B57,"MMM")</f>
        <v>Mar</v>
      </c>
      <c r="E57" s="3">
        <f>'01_Main_Dataset'!I57*'01_Main_Dataset'!J57</f>
        <v>2066.8000000000002</v>
      </c>
    </row>
    <row r="58" spans="2:5" ht="15.75" customHeight="1">
      <c r="B58" s="3" t="str">
        <f>'01_Main_Dataset'!A58</f>
        <v>ORD00058</v>
      </c>
      <c r="C58" s="3">
        <f>YEAR('01_Main_Dataset'!B58)</f>
        <v>2025</v>
      </c>
      <c r="D58" s="3" t="str">
        <f>TEXT('01_Main_Dataset'!B58,"MMM")</f>
        <v>Oct</v>
      </c>
      <c r="E58" s="3">
        <f>'01_Main_Dataset'!I58*'01_Main_Dataset'!J58</f>
        <v>5457.42</v>
      </c>
    </row>
    <row r="59" spans="2:5" ht="15.75" customHeight="1">
      <c r="B59" s="3" t="str">
        <f>'01_Main_Dataset'!A59</f>
        <v>ORD00059</v>
      </c>
      <c r="C59" s="3">
        <f>YEAR('01_Main_Dataset'!B59)</f>
        <v>2025</v>
      </c>
      <c r="D59" s="3" t="str">
        <f>TEXT('01_Main_Dataset'!B59,"MMM")</f>
        <v>Feb</v>
      </c>
      <c r="E59" s="3">
        <f>'01_Main_Dataset'!I59*'01_Main_Dataset'!J59</f>
        <v>1130.3399999999999</v>
      </c>
    </row>
    <row r="60" spans="2:5" ht="15.75" customHeight="1">
      <c r="B60" s="3" t="str">
        <f>'01_Main_Dataset'!A60</f>
        <v>ORD00060</v>
      </c>
      <c r="C60" s="3">
        <f>YEAR('01_Main_Dataset'!B60)</f>
        <v>2025</v>
      </c>
      <c r="D60" s="3" t="str">
        <f>TEXT('01_Main_Dataset'!B60,"MMM")</f>
        <v>Jun</v>
      </c>
      <c r="E60" s="3">
        <f>'01_Main_Dataset'!I60*'01_Main_Dataset'!J60</f>
        <v>916.7</v>
      </c>
    </row>
    <row r="61" spans="2:5" ht="15.75" customHeight="1">
      <c r="B61" s="3" t="str">
        <f>'01_Main_Dataset'!A61</f>
        <v>ORD00061</v>
      </c>
      <c r="C61" s="3">
        <f>YEAR('01_Main_Dataset'!B61)</f>
        <v>2025</v>
      </c>
      <c r="D61" s="3" t="str">
        <f>TEXT('01_Main_Dataset'!B61,"MMM")</f>
        <v>Sep</v>
      </c>
      <c r="E61" s="3">
        <f>'01_Main_Dataset'!I61*'01_Main_Dataset'!J61</f>
        <v>13085.91</v>
      </c>
    </row>
    <row r="62" spans="2:5" ht="15.75" customHeight="1">
      <c r="B62" s="3" t="str">
        <f>'01_Main_Dataset'!A62</f>
        <v>ORD00062</v>
      </c>
      <c r="C62" s="3">
        <f>YEAR('01_Main_Dataset'!B62)</f>
        <v>2025</v>
      </c>
      <c r="D62" s="3" t="str">
        <f>TEXT('01_Main_Dataset'!B62,"MMM")</f>
        <v>May</v>
      </c>
      <c r="E62" s="3">
        <f>'01_Main_Dataset'!I62*'01_Main_Dataset'!J62</f>
        <v>417.59</v>
      </c>
    </row>
    <row r="63" spans="2:5" ht="15.75" customHeight="1">
      <c r="B63" s="3" t="str">
        <f>'01_Main_Dataset'!A63</f>
        <v>ORD00063</v>
      </c>
      <c r="C63" s="3">
        <f>YEAR('01_Main_Dataset'!B63)</f>
        <v>2025</v>
      </c>
      <c r="D63" s="3" t="str">
        <f>TEXT('01_Main_Dataset'!B63,"MMM")</f>
        <v>Jun</v>
      </c>
      <c r="E63" s="3">
        <f>'01_Main_Dataset'!I63*'01_Main_Dataset'!J63</f>
        <v>6843.48</v>
      </c>
    </row>
    <row r="64" spans="2:5" ht="15.75" customHeight="1">
      <c r="B64" s="3" t="str">
        <f>'01_Main_Dataset'!A64</f>
        <v>ORD00064</v>
      </c>
      <c r="C64" s="3">
        <f>YEAR('01_Main_Dataset'!B64)</f>
        <v>2025</v>
      </c>
      <c r="D64" s="3" t="str">
        <f>TEXT('01_Main_Dataset'!B64,"MMM")</f>
        <v>Mar</v>
      </c>
      <c r="E64" s="3">
        <f>'01_Main_Dataset'!I64*'01_Main_Dataset'!J64</f>
        <v>6139.7999999999993</v>
      </c>
    </row>
    <row r="65" spans="2:5" ht="15.75" customHeight="1">
      <c r="B65" s="3" t="str">
        <f>'01_Main_Dataset'!A65</f>
        <v>ORD00065</v>
      </c>
      <c r="C65" s="3">
        <f>YEAR('01_Main_Dataset'!B65)</f>
        <v>2025</v>
      </c>
      <c r="D65" s="3" t="str">
        <f>TEXT('01_Main_Dataset'!B65,"MMM")</f>
        <v>Aug</v>
      </c>
      <c r="E65" s="3">
        <f>'01_Main_Dataset'!I65*'01_Main_Dataset'!J65</f>
        <v>1967.1000000000001</v>
      </c>
    </row>
    <row r="66" spans="2:5" ht="15.75" customHeight="1">
      <c r="B66" s="3" t="str">
        <f>'01_Main_Dataset'!A66</f>
        <v>ORD00066</v>
      </c>
      <c r="C66" s="3">
        <f>YEAR('01_Main_Dataset'!B66)</f>
        <v>2025</v>
      </c>
      <c r="D66" s="3" t="str">
        <f>TEXT('01_Main_Dataset'!B66,"MMM")</f>
        <v>May</v>
      </c>
      <c r="E66" s="3">
        <f>'01_Main_Dataset'!I66*'01_Main_Dataset'!J66</f>
        <v>5679.84</v>
      </c>
    </row>
    <row r="67" spans="2:5" ht="15.75" customHeight="1">
      <c r="B67" s="3" t="str">
        <f>'01_Main_Dataset'!A67</f>
        <v>ORD00067</v>
      </c>
      <c r="C67" s="3">
        <f>YEAR('01_Main_Dataset'!B67)</f>
        <v>2025</v>
      </c>
      <c r="D67" s="3" t="str">
        <f>TEXT('01_Main_Dataset'!B67,"MMM")</f>
        <v>Apr</v>
      </c>
      <c r="E67" s="3">
        <f>'01_Main_Dataset'!I67*'01_Main_Dataset'!J67</f>
        <v>11448.220000000001</v>
      </c>
    </row>
    <row r="68" spans="2:5" ht="15.75" customHeight="1">
      <c r="B68" s="3" t="str">
        <f>'01_Main_Dataset'!A68</f>
        <v>ORD00068</v>
      </c>
      <c r="C68" s="3">
        <f>YEAR('01_Main_Dataset'!B68)</f>
        <v>2025</v>
      </c>
      <c r="D68" s="3" t="str">
        <f>TEXT('01_Main_Dataset'!B68,"MMM")</f>
        <v>Oct</v>
      </c>
      <c r="E68" s="3">
        <f>'01_Main_Dataset'!I68*'01_Main_Dataset'!J68</f>
        <v>5597.9400000000005</v>
      </c>
    </row>
    <row r="69" spans="2:5" ht="15.75" customHeight="1">
      <c r="B69" s="3" t="str">
        <f>'01_Main_Dataset'!A69</f>
        <v>ORD00069</v>
      </c>
      <c r="C69" s="3">
        <f>YEAR('01_Main_Dataset'!B69)</f>
        <v>2025</v>
      </c>
      <c r="D69" s="3" t="str">
        <f>TEXT('01_Main_Dataset'!B69,"MMM")</f>
        <v>Aug</v>
      </c>
      <c r="E69" s="3">
        <f>'01_Main_Dataset'!I69*'01_Main_Dataset'!J69</f>
        <v>5230.75</v>
      </c>
    </row>
    <row r="70" spans="2:5" ht="15.75" customHeight="1">
      <c r="B70" s="3" t="str">
        <f>'01_Main_Dataset'!A70</f>
        <v>ORD00070</v>
      </c>
      <c r="C70" s="3">
        <f>YEAR('01_Main_Dataset'!B70)</f>
        <v>2025</v>
      </c>
      <c r="D70" s="3" t="str">
        <f>TEXT('01_Main_Dataset'!B70,"MMM")</f>
        <v>Apr</v>
      </c>
      <c r="E70" s="3">
        <f>'01_Main_Dataset'!I70*'01_Main_Dataset'!J70</f>
        <v>6750.5</v>
      </c>
    </row>
    <row r="71" spans="2:5" ht="15.75" customHeight="1">
      <c r="B71" s="3" t="str">
        <f>'01_Main_Dataset'!A71</f>
        <v>ORD00071</v>
      </c>
      <c r="C71" s="3">
        <f>YEAR('01_Main_Dataset'!B71)</f>
        <v>2025</v>
      </c>
      <c r="D71" s="3" t="str">
        <f>TEXT('01_Main_Dataset'!B71,"MMM")</f>
        <v>Jun</v>
      </c>
      <c r="E71" s="3">
        <f>'01_Main_Dataset'!I71*'01_Main_Dataset'!J71</f>
        <v>12018.24</v>
      </c>
    </row>
    <row r="72" spans="2:5" ht="15.75" customHeight="1">
      <c r="B72" s="3" t="str">
        <f>'01_Main_Dataset'!A72</f>
        <v>ORD00072</v>
      </c>
      <c r="C72" s="3">
        <f>YEAR('01_Main_Dataset'!B72)</f>
        <v>2025</v>
      </c>
      <c r="D72" s="3" t="str">
        <f>TEXT('01_Main_Dataset'!B72,"MMM")</f>
        <v>Apr</v>
      </c>
      <c r="E72" s="3">
        <f>'01_Main_Dataset'!I72*'01_Main_Dataset'!J72</f>
        <v>17467.5</v>
      </c>
    </row>
    <row r="73" spans="2:5" ht="15.75" customHeight="1">
      <c r="B73" s="3" t="str">
        <f>'01_Main_Dataset'!A73</f>
        <v>ORD00073</v>
      </c>
      <c r="C73" s="3">
        <f>YEAR('01_Main_Dataset'!B73)</f>
        <v>2025</v>
      </c>
      <c r="D73" s="3" t="str">
        <f>TEXT('01_Main_Dataset'!B73,"MMM")</f>
        <v>Jan</v>
      </c>
      <c r="E73" s="3">
        <f>'01_Main_Dataset'!I73*'01_Main_Dataset'!J73</f>
        <v>11633.85</v>
      </c>
    </row>
    <row r="74" spans="2:5" ht="15.75" customHeight="1">
      <c r="B74" s="3" t="str">
        <f>'01_Main_Dataset'!A74</f>
        <v>ORD00074</v>
      </c>
      <c r="C74" s="3">
        <f>YEAR('01_Main_Dataset'!B74)</f>
        <v>2025</v>
      </c>
      <c r="D74" s="3" t="str">
        <f>TEXT('01_Main_Dataset'!B74,"MMM")</f>
        <v>Apr</v>
      </c>
      <c r="E74" s="3">
        <f>'01_Main_Dataset'!I74*'01_Main_Dataset'!J74</f>
        <v>3905.04</v>
      </c>
    </row>
    <row r="75" spans="2:5" ht="15.75" customHeight="1">
      <c r="B75" s="3" t="str">
        <f>'01_Main_Dataset'!A75</f>
        <v>ORD00075</v>
      </c>
      <c r="C75" s="3">
        <f>YEAR('01_Main_Dataset'!B75)</f>
        <v>2025</v>
      </c>
      <c r="D75" s="3" t="str">
        <f>TEXT('01_Main_Dataset'!B75,"MMM")</f>
        <v>Mar</v>
      </c>
      <c r="E75" s="3">
        <f>'01_Main_Dataset'!I75*'01_Main_Dataset'!J75</f>
        <v>17854.100000000002</v>
      </c>
    </row>
    <row r="76" spans="2:5" ht="15.75" customHeight="1">
      <c r="B76" s="3" t="str">
        <f>'01_Main_Dataset'!A76</f>
        <v>ORD00076</v>
      </c>
      <c r="C76" s="3">
        <f>YEAR('01_Main_Dataset'!B76)</f>
        <v>2025</v>
      </c>
      <c r="D76" s="3" t="str">
        <f>TEXT('01_Main_Dataset'!B76,"MMM")</f>
        <v>Nov</v>
      </c>
      <c r="E76" s="3">
        <f>'01_Main_Dataset'!I76*'01_Main_Dataset'!J76</f>
        <v>12194.96</v>
      </c>
    </row>
    <row r="77" spans="2:5" ht="15.75" customHeight="1">
      <c r="B77" s="3" t="str">
        <f>'01_Main_Dataset'!A77</f>
        <v>ORD00077</v>
      </c>
      <c r="C77" s="3">
        <f>YEAR('01_Main_Dataset'!B77)</f>
        <v>2025</v>
      </c>
      <c r="D77" s="3" t="str">
        <f>TEXT('01_Main_Dataset'!B77,"MMM")</f>
        <v>Aug</v>
      </c>
      <c r="E77" s="3">
        <f>'01_Main_Dataset'!I77*'01_Main_Dataset'!J77</f>
        <v>13789.84</v>
      </c>
    </row>
    <row r="78" spans="2:5" ht="15.75" customHeight="1">
      <c r="B78" s="3" t="str">
        <f>'01_Main_Dataset'!A78</f>
        <v>ORD00078</v>
      </c>
      <c r="C78" s="3">
        <f>YEAR('01_Main_Dataset'!B78)</f>
        <v>2025</v>
      </c>
      <c r="D78" s="3" t="str">
        <f>TEXT('01_Main_Dataset'!B78,"MMM")</f>
        <v>Aug</v>
      </c>
      <c r="E78" s="3">
        <f>'01_Main_Dataset'!I78*'01_Main_Dataset'!J78</f>
        <v>914.43000000000006</v>
      </c>
    </row>
    <row r="79" spans="2:5" ht="15.75" customHeight="1">
      <c r="B79" s="3" t="str">
        <f>'01_Main_Dataset'!A79</f>
        <v>ORD00079</v>
      </c>
      <c r="C79" s="3">
        <f>YEAR('01_Main_Dataset'!B79)</f>
        <v>2025</v>
      </c>
      <c r="D79" s="3" t="str">
        <f>TEXT('01_Main_Dataset'!B79,"MMM")</f>
        <v>Dec</v>
      </c>
      <c r="E79" s="3">
        <f>'01_Main_Dataset'!I79*'01_Main_Dataset'!J79</f>
        <v>8263.5299999999988</v>
      </c>
    </row>
    <row r="80" spans="2: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00B0F0"/>
  </sheetPr>
  <dimension ref="A1:N401"/>
  <sheetViews>
    <sheetView workbookViewId="0">
      <selection activeCell="A175" sqref="A175"/>
    </sheetView>
  </sheetViews>
  <sheetFormatPr defaultColWidth="14.44140625" defaultRowHeight="15" customHeight="1"/>
  <cols>
    <col min="1" max="1" width="39.88671875" bestFit="1" customWidth="1"/>
    <col min="2" max="2" width="10.21875" customWidth="1"/>
    <col min="3" max="3" width="9.6640625" bestFit="1" customWidth="1"/>
    <col min="4" max="4" width="10.33203125" bestFit="1" customWidth="1"/>
    <col min="5" max="5" width="6.77734375" bestFit="1" customWidth="1"/>
    <col min="6" max="6" width="13.109375" bestFit="1" customWidth="1"/>
    <col min="7" max="7" width="12.77734375" bestFit="1" customWidth="1"/>
    <col min="8" max="8" width="10.33203125" bestFit="1" customWidth="1"/>
    <col min="9" max="9" width="9.109375" bestFit="1" customWidth="1"/>
    <col min="10" max="10" width="11.33203125" bestFit="1" customWidth="1"/>
    <col min="11" max="11" width="8" bestFit="1" customWidth="1"/>
    <col min="12" max="12" width="8.33203125" bestFit="1" customWidth="1"/>
    <col min="13" max="13" width="7" bestFit="1" customWidth="1"/>
    <col min="14" max="14" width="8.33203125" bestFit="1" customWidth="1"/>
  </cols>
  <sheetData>
    <row r="1" spans="1:14" ht="14.4">
      <c r="A1" s="24" t="s">
        <v>1276</v>
      </c>
      <c r="B1" s="28"/>
      <c r="C1" s="2" t="s">
        <v>0</v>
      </c>
      <c r="D1" s="2" t="s">
        <v>1</v>
      </c>
      <c r="E1" s="2" t="s">
        <v>2</v>
      </c>
      <c r="F1" s="2" t="s">
        <v>3</v>
      </c>
      <c r="G1" s="2" t="s">
        <v>4</v>
      </c>
      <c r="H1" s="2" t="s">
        <v>5</v>
      </c>
      <c r="I1" s="2" t="s">
        <v>6</v>
      </c>
      <c r="J1" s="2" t="s">
        <v>7</v>
      </c>
      <c r="K1" s="2" t="s">
        <v>8</v>
      </c>
      <c r="L1" s="2" t="s">
        <v>9</v>
      </c>
      <c r="M1" s="2" t="s">
        <v>10</v>
      </c>
      <c r="N1" s="2" t="s">
        <v>11</v>
      </c>
    </row>
    <row r="2" spans="1:14" ht="14.4" hidden="1">
      <c r="A2" s="14" t="s">
        <v>1241</v>
      </c>
      <c r="B2" s="27"/>
      <c r="C2" s="3" t="s">
        <v>179</v>
      </c>
      <c r="D2" s="25">
        <v>45726</v>
      </c>
      <c r="E2" s="3" t="s">
        <v>20</v>
      </c>
      <c r="F2" s="3" t="s">
        <v>14</v>
      </c>
      <c r="G2" s="3" t="s">
        <v>15</v>
      </c>
      <c r="H2" s="3" t="s">
        <v>180</v>
      </c>
      <c r="I2" s="3" t="s">
        <v>181</v>
      </c>
      <c r="J2" s="3" t="s">
        <v>18</v>
      </c>
      <c r="K2" s="3">
        <v>1994.98</v>
      </c>
      <c r="L2" s="3">
        <v>7</v>
      </c>
      <c r="M2" s="3">
        <v>361.57</v>
      </c>
      <c r="N2" s="3">
        <v>0.06</v>
      </c>
    </row>
    <row r="3" spans="1:14" ht="14.4" hidden="1">
      <c r="A3" s="14" t="s">
        <v>1242</v>
      </c>
      <c r="B3" s="27"/>
      <c r="C3" s="3" t="s">
        <v>923</v>
      </c>
      <c r="D3" s="25">
        <v>46010</v>
      </c>
      <c r="E3" s="3" t="s">
        <v>41</v>
      </c>
      <c r="F3" s="3" t="s">
        <v>14</v>
      </c>
      <c r="G3" s="3" t="s">
        <v>15</v>
      </c>
      <c r="H3" s="3" t="s">
        <v>924</v>
      </c>
      <c r="I3" s="3" t="s">
        <v>925</v>
      </c>
      <c r="J3" s="3" t="s">
        <v>39</v>
      </c>
      <c r="K3" s="3">
        <v>1987.93</v>
      </c>
      <c r="L3" s="3">
        <v>8</v>
      </c>
      <c r="M3" s="3">
        <v>627.9</v>
      </c>
      <c r="N3" s="3">
        <v>0.03</v>
      </c>
    </row>
    <row r="4" spans="1:14" ht="14.4" hidden="1">
      <c r="A4" s="14" t="s">
        <v>1243</v>
      </c>
      <c r="B4" s="27"/>
      <c r="C4" s="3" t="s">
        <v>701</v>
      </c>
      <c r="D4" s="25">
        <v>45720</v>
      </c>
      <c r="E4" s="3" t="s">
        <v>28</v>
      </c>
      <c r="F4" s="3" t="s">
        <v>32</v>
      </c>
      <c r="G4" s="3" t="s">
        <v>15</v>
      </c>
      <c r="H4" s="3" t="s">
        <v>702</v>
      </c>
      <c r="I4" s="3" t="s">
        <v>703</v>
      </c>
      <c r="J4" s="3" t="s">
        <v>35</v>
      </c>
      <c r="K4" s="3">
        <v>1977.2</v>
      </c>
      <c r="L4" s="3">
        <v>9</v>
      </c>
      <c r="M4" s="3">
        <v>459.31</v>
      </c>
      <c r="N4" s="3">
        <v>0.26</v>
      </c>
    </row>
    <row r="5" spans="1:14" ht="14.4">
      <c r="A5" s="29" t="s">
        <v>1241</v>
      </c>
      <c r="B5" s="27"/>
      <c r="C5" s="3" t="s">
        <v>398</v>
      </c>
      <c r="D5" s="25">
        <v>45979</v>
      </c>
      <c r="E5" s="3" t="s">
        <v>41</v>
      </c>
      <c r="F5" s="3" t="s">
        <v>14</v>
      </c>
      <c r="G5" s="3" t="s">
        <v>15</v>
      </c>
      <c r="H5" s="3" t="s">
        <v>399</v>
      </c>
      <c r="I5" s="3" t="s">
        <v>400</v>
      </c>
      <c r="J5" s="3" t="s">
        <v>39</v>
      </c>
      <c r="K5" s="3">
        <v>1975.53</v>
      </c>
      <c r="L5" s="3">
        <v>8</v>
      </c>
      <c r="M5" s="3">
        <v>376.33</v>
      </c>
      <c r="N5" s="3">
        <v>0.21</v>
      </c>
    </row>
    <row r="6" spans="1:14" hidden="1" thickBot="1">
      <c r="A6" s="15" t="s">
        <v>1244</v>
      </c>
      <c r="B6" s="27"/>
      <c r="C6" s="3" t="s">
        <v>476</v>
      </c>
      <c r="D6" s="25">
        <v>45675</v>
      </c>
      <c r="E6" s="3" t="s">
        <v>28</v>
      </c>
      <c r="F6" s="3" t="s">
        <v>14</v>
      </c>
      <c r="G6" s="3" t="s">
        <v>15</v>
      </c>
      <c r="H6" s="3" t="s">
        <v>477</v>
      </c>
      <c r="I6" s="3" t="s">
        <v>478</v>
      </c>
      <c r="J6" s="3" t="s">
        <v>39</v>
      </c>
      <c r="K6" s="3">
        <v>1973.56</v>
      </c>
      <c r="L6" s="3">
        <v>9</v>
      </c>
      <c r="M6" s="3">
        <v>622.36</v>
      </c>
      <c r="N6" s="3">
        <v>7.0000000000000007E-2</v>
      </c>
    </row>
    <row r="7" spans="1:14" ht="14.4" hidden="1">
      <c r="C7" s="3" t="s">
        <v>674</v>
      </c>
      <c r="D7" s="25">
        <v>45759</v>
      </c>
      <c r="E7" s="3" t="s">
        <v>20</v>
      </c>
      <c r="F7" s="3" t="s">
        <v>32</v>
      </c>
      <c r="G7" s="3" t="s">
        <v>15</v>
      </c>
      <c r="H7" s="3" t="s">
        <v>675</v>
      </c>
      <c r="I7" s="3" t="s">
        <v>676</v>
      </c>
      <c r="J7" s="3" t="s">
        <v>35</v>
      </c>
      <c r="K7" s="3">
        <v>1972.02</v>
      </c>
      <c r="L7" s="3">
        <v>2</v>
      </c>
      <c r="M7" s="3">
        <v>106.07</v>
      </c>
      <c r="N7" s="3">
        <v>0.11</v>
      </c>
    </row>
    <row r="8" spans="1:14" ht="14.4" hidden="1">
      <c r="C8" s="3" t="s">
        <v>182</v>
      </c>
      <c r="D8" s="25">
        <v>45933</v>
      </c>
      <c r="E8" s="3" t="s">
        <v>20</v>
      </c>
      <c r="F8" s="3" t="s">
        <v>32</v>
      </c>
      <c r="G8" s="3" t="s">
        <v>15</v>
      </c>
      <c r="H8" s="3" t="s">
        <v>183</v>
      </c>
      <c r="I8" s="3" t="s">
        <v>184</v>
      </c>
      <c r="J8" s="3" t="s">
        <v>39</v>
      </c>
      <c r="K8" s="3">
        <v>1970.76</v>
      </c>
      <c r="L8" s="3">
        <v>9</v>
      </c>
      <c r="M8" s="3">
        <v>683.91</v>
      </c>
      <c r="N8" s="3">
        <v>0.02</v>
      </c>
    </row>
    <row r="9" spans="1:14" ht="14.4" hidden="1">
      <c r="C9" s="3" t="s">
        <v>857</v>
      </c>
      <c r="D9" s="25">
        <v>45794</v>
      </c>
      <c r="E9" s="3" t="s">
        <v>28</v>
      </c>
      <c r="F9" s="3" t="s">
        <v>21</v>
      </c>
      <c r="G9" s="3" t="s">
        <v>15</v>
      </c>
      <c r="H9" s="3" t="s">
        <v>858</v>
      </c>
      <c r="I9" s="3" t="s">
        <v>859</v>
      </c>
      <c r="J9" s="3" t="s">
        <v>18</v>
      </c>
      <c r="K9" s="3">
        <v>1968.45</v>
      </c>
      <c r="L9" s="3">
        <v>7</v>
      </c>
      <c r="M9" s="3">
        <v>672.5</v>
      </c>
      <c r="N9" s="3">
        <v>0.1</v>
      </c>
    </row>
    <row r="10" spans="1:14" ht="14.4" hidden="1">
      <c r="C10" s="3" t="s">
        <v>1127</v>
      </c>
      <c r="D10" s="25">
        <v>45788</v>
      </c>
      <c r="E10" s="3" t="s">
        <v>41</v>
      </c>
      <c r="F10" s="3" t="s">
        <v>32</v>
      </c>
      <c r="G10" s="3" t="s">
        <v>15</v>
      </c>
      <c r="H10" s="3" t="s">
        <v>1128</v>
      </c>
      <c r="I10" s="3" t="s">
        <v>1129</v>
      </c>
      <c r="J10" s="3" t="s">
        <v>18</v>
      </c>
      <c r="K10" s="3">
        <v>1954.83</v>
      </c>
      <c r="L10" s="3">
        <v>9</v>
      </c>
      <c r="M10" s="3">
        <v>717.68</v>
      </c>
      <c r="N10" s="3">
        <v>0.18</v>
      </c>
    </row>
    <row r="11" spans="1:14" ht="14.4" hidden="1">
      <c r="C11" s="3" t="s">
        <v>329</v>
      </c>
      <c r="D11" s="25">
        <v>46019</v>
      </c>
      <c r="E11" s="3" t="s">
        <v>13</v>
      </c>
      <c r="F11" s="3" t="s">
        <v>21</v>
      </c>
      <c r="G11" s="3" t="s">
        <v>15</v>
      </c>
      <c r="H11" s="3" t="s">
        <v>330</v>
      </c>
      <c r="I11" s="3" t="s">
        <v>331</v>
      </c>
      <c r="J11" s="3" t="s">
        <v>35</v>
      </c>
      <c r="K11" s="3">
        <v>1951.97</v>
      </c>
      <c r="L11" s="3">
        <v>8</v>
      </c>
      <c r="M11" s="3">
        <v>242.52</v>
      </c>
      <c r="N11" s="3">
        <v>0.25</v>
      </c>
    </row>
    <row r="12" spans="1:14" ht="14.4" hidden="1">
      <c r="C12" s="3" t="s">
        <v>1091</v>
      </c>
      <c r="D12" s="25">
        <v>45758</v>
      </c>
      <c r="E12" s="3" t="s">
        <v>13</v>
      </c>
      <c r="F12" s="3" t="s">
        <v>32</v>
      </c>
      <c r="G12" s="3" t="s">
        <v>15</v>
      </c>
      <c r="H12" s="3" t="s">
        <v>1092</v>
      </c>
      <c r="I12" s="3" t="s">
        <v>1093</v>
      </c>
      <c r="J12" s="3" t="s">
        <v>39</v>
      </c>
      <c r="K12" s="3">
        <v>1951.69</v>
      </c>
      <c r="L12" s="3">
        <v>2</v>
      </c>
      <c r="M12" s="3">
        <v>333.71</v>
      </c>
      <c r="N12" s="3">
        <v>0.21</v>
      </c>
    </row>
    <row r="13" spans="1:14" ht="14.4" hidden="1">
      <c r="C13" s="3" t="s">
        <v>152</v>
      </c>
      <c r="D13" s="25">
        <v>45947</v>
      </c>
      <c r="E13" s="3" t="s">
        <v>20</v>
      </c>
      <c r="F13" s="3" t="s">
        <v>21</v>
      </c>
      <c r="G13" s="3" t="s">
        <v>15</v>
      </c>
      <c r="H13" s="3" t="s">
        <v>153</v>
      </c>
      <c r="I13" s="3" t="s">
        <v>154</v>
      </c>
      <c r="J13" s="3" t="s">
        <v>35</v>
      </c>
      <c r="K13" s="3">
        <v>1948.51</v>
      </c>
      <c r="L13" s="3">
        <v>9</v>
      </c>
      <c r="M13" s="3">
        <v>186.79</v>
      </c>
      <c r="N13" s="3">
        <v>0.24</v>
      </c>
    </row>
    <row r="14" spans="1:14" ht="14.4" hidden="1">
      <c r="C14" s="3" t="s">
        <v>287</v>
      </c>
      <c r="D14" s="25">
        <v>45888</v>
      </c>
      <c r="E14" s="3" t="s">
        <v>13</v>
      </c>
      <c r="F14" s="3" t="s">
        <v>21</v>
      </c>
      <c r="G14" s="3" t="s">
        <v>15</v>
      </c>
      <c r="H14" s="3" t="s">
        <v>288</v>
      </c>
      <c r="I14" s="3" t="s">
        <v>289</v>
      </c>
      <c r="J14" s="3" t="s">
        <v>39</v>
      </c>
      <c r="K14" s="3">
        <v>1937.62</v>
      </c>
      <c r="L14" s="3">
        <v>3</v>
      </c>
      <c r="M14" s="3">
        <v>589.79</v>
      </c>
      <c r="N14" s="3">
        <v>0.11</v>
      </c>
    </row>
    <row r="15" spans="1:14" ht="14.4" hidden="1">
      <c r="C15" s="3" t="s">
        <v>998</v>
      </c>
      <c r="D15" s="25">
        <v>45729</v>
      </c>
      <c r="E15" s="3" t="s">
        <v>13</v>
      </c>
      <c r="F15" s="3" t="s">
        <v>21</v>
      </c>
      <c r="G15" s="3" t="s">
        <v>15</v>
      </c>
      <c r="H15" s="3" t="s">
        <v>999</v>
      </c>
      <c r="I15" s="3" t="s">
        <v>1000</v>
      </c>
      <c r="J15" s="3" t="s">
        <v>39</v>
      </c>
      <c r="K15" s="3">
        <v>1926.43</v>
      </c>
      <c r="L15" s="3">
        <v>10</v>
      </c>
      <c r="M15" s="3">
        <v>582.45000000000005</v>
      </c>
      <c r="N15" s="3">
        <v>0.18</v>
      </c>
    </row>
    <row r="16" spans="1:14" ht="14.4" hidden="1">
      <c r="C16" s="3" t="s">
        <v>539</v>
      </c>
      <c r="D16" s="25">
        <v>45972</v>
      </c>
      <c r="E16" s="3" t="s">
        <v>13</v>
      </c>
      <c r="F16" s="3" t="s">
        <v>21</v>
      </c>
      <c r="G16" s="3" t="s">
        <v>15</v>
      </c>
      <c r="H16" s="3" t="s">
        <v>540</v>
      </c>
      <c r="I16" s="3" t="s">
        <v>541</v>
      </c>
      <c r="J16" s="3" t="s">
        <v>18</v>
      </c>
      <c r="K16" s="3">
        <v>1914.54</v>
      </c>
      <c r="L16" s="3">
        <v>8</v>
      </c>
      <c r="M16" s="3">
        <v>192.01</v>
      </c>
      <c r="N16" s="3">
        <v>0.08</v>
      </c>
    </row>
    <row r="17" spans="1:14" ht="14.4" hidden="1">
      <c r="C17" s="3" t="s">
        <v>671</v>
      </c>
      <c r="D17" s="25">
        <v>45939</v>
      </c>
      <c r="E17" s="3" t="s">
        <v>28</v>
      </c>
      <c r="F17" s="3" t="s">
        <v>21</v>
      </c>
      <c r="G17" s="3" t="s">
        <v>15</v>
      </c>
      <c r="H17" s="3" t="s">
        <v>672</v>
      </c>
      <c r="I17" s="3" t="s">
        <v>673</v>
      </c>
      <c r="J17" s="3" t="s">
        <v>35</v>
      </c>
      <c r="K17" s="3">
        <v>1911.63</v>
      </c>
      <c r="L17" s="3">
        <v>9</v>
      </c>
      <c r="M17" s="3">
        <v>645.24</v>
      </c>
      <c r="N17" s="3">
        <v>0.28000000000000003</v>
      </c>
    </row>
    <row r="18" spans="1:14" ht="14.4" hidden="1">
      <c r="C18" s="3" t="s">
        <v>389</v>
      </c>
      <c r="D18" s="25">
        <v>45809</v>
      </c>
      <c r="E18" s="3" t="s">
        <v>13</v>
      </c>
      <c r="F18" s="3" t="s">
        <v>14</v>
      </c>
      <c r="G18" s="3" t="s">
        <v>15</v>
      </c>
      <c r="H18" s="3" t="s">
        <v>390</v>
      </c>
      <c r="I18" s="3" t="s">
        <v>391</v>
      </c>
      <c r="J18" s="3" t="s">
        <v>18</v>
      </c>
      <c r="K18" s="3">
        <v>1903.38</v>
      </c>
      <c r="L18" s="3">
        <v>1</v>
      </c>
      <c r="M18" s="3">
        <v>139.03</v>
      </c>
      <c r="N18" s="3">
        <v>0.14000000000000001</v>
      </c>
    </row>
    <row r="19" spans="1:14" ht="14.4" hidden="1">
      <c r="C19" s="3" t="s">
        <v>1058</v>
      </c>
      <c r="D19" s="25">
        <v>45981</v>
      </c>
      <c r="E19" s="3" t="s">
        <v>28</v>
      </c>
      <c r="F19" s="3" t="s">
        <v>32</v>
      </c>
      <c r="G19" s="3" t="s">
        <v>15</v>
      </c>
      <c r="H19" s="3" t="s">
        <v>1059</v>
      </c>
      <c r="I19" s="3" t="s">
        <v>1060</v>
      </c>
      <c r="J19" s="3" t="s">
        <v>35</v>
      </c>
      <c r="K19" s="3">
        <v>1894.17</v>
      </c>
      <c r="L19" s="3">
        <v>5</v>
      </c>
      <c r="M19" s="3">
        <v>734.53</v>
      </c>
      <c r="N19" s="3">
        <v>0.17</v>
      </c>
    </row>
    <row r="20" spans="1:14" ht="14.4" hidden="1">
      <c r="C20" s="3" t="s">
        <v>215</v>
      </c>
      <c r="D20" s="25">
        <v>45801</v>
      </c>
      <c r="E20" s="3" t="s">
        <v>41</v>
      </c>
      <c r="F20" s="3" t="s">
        <v>21</v>
      </c>
      <c r="G20" s="3" t="s">
        <v>15</v>
      </c>
      <c r="H20" s="3" t="s">
        <v>216</v>
      </c>
      <c r="I20" s="3" t="s">
        <v>217</v>
      </c>
      <c r="J20" s="3" t="s">
        <v>18</v>
      </c>
      <c r="K20" s="3">
        <v>1893.28</v>
      </c>
      <c r="L20" s="3">
        <v>3</v>
      </c>
      <c r="M20" s="3">
        <v>620.61</v>
      </c>
      <c r="N20" s="3">
        <v>0.2</v>
      </c>
    </row>
    <row r="21" spans="1:14" ht="15.75" customHeight="1">
      <c r="A21" s="30" t="s">
        <v>1277</v>
      </c>
      <c r="C21" s="3" t="s">
        <v>122</v>
      </c>
      <c r="D21" s="25">
        <v>45881</v>
      </c>
      <c r="E21" s="3" t="s">
        <v>20</v>
      </c>
      <c r="F21" s="3" t="s">
        <v>14</v>
      </c>
      <c r="G21" s="3" t="s">
        <v>15</v>
      </c>
      <c r="H21" s="3" t="s">
        <v>123</v>
      </c>
      <c r="I21" s="3" t="s">
        <v>124</v>
      </c>
      <c r="J21" s="3" t="s">
        <v>35</v>
      </c>
      <c r="K21" s="3">
        <v>1881.77</v>
      </c>
      <c r="L21" s="3">
        <v>3</v>
      </c>
      <c r="M21" s="3">
        <v>605.04999999999995</v>
      </c>
      <c r="N21" s="3">
        <v>0.25</v>
      </c>
    </row>
    <row r="22" spans="1:14" ht="15.75" hidden="1" customHeight="1">
      <c r="C22" s="3" t="s">
        <v>578</v>
      </c>
      <c r="D22" s="25">
        <v>45753</v>
      </c>
      <c r="E22" s="3" t="s">
        <v>28</v>
      </c>
      <c r="F22" s="3" t="s">
        <v>14</v>
      </c>
      <c r="G22" s="3" t="s">
        <v>15</v>
      </c>
      <c r="H22" s="3" t="s">
        <v>579</v>
      </c>
      <c r="I22" s="3" t="s">
        <v>580</v>
      </c>
      <c r="J22" s="3" t="s">
        <v>35</v>
      </c>
      <c r="K22" s="3">
        <v>1881.53</v>
      </c>
      <c r="L22" s="3">
        <v>4</v>
      </c>
      <c r="M22" s="3">
        <v>711.79</v>
      </c>
      <c r="N22" s="3">
        <v>0.18</v>
      </c>
    </row>
    <row r="23" spans="1:14" ht="15.75" hidden="1" customHeight="1">
      <c r="C23" s="3" t="s">
        <v>1157</v>
      </c>
      <c r="D23" s="25">
        <v>45926</v>
      </c>
      <c r="E23" s="3" t="s">
        <v>13</v>
      </c>
      <c r="F23" s="3" t="s">
        <v>21</v>
      </c>
      <c r="G23" s="3" t="s">
        <v>15</v>
      </c>
      <c r="H23" s="3" t="s">
        <v>1158</v>
      </c>
      <c r="I23" s="3" t="s">
        <v>1159</v>
      </c>
      <c r="J23" s="3" t="s">
        <v>35</v>
      </c>
      <c r="K23" s="3">
        <v>1879.41</v>
      </c>
      <c r="L23" s="3">
        <v>9</v>
      </c>
      <c r="M23" s="3">
        <v>666.22</v>
      </c>
      <c r="N23" s="3">
        <v>0.28999999999999998</v>
      </c>
    </row>
    <row r="24" spans="1:14" ht="15.75" hidden="1" customHeight="1">
      <c r="C24" s="3" t="s">
        <v>221</v>
      </c>
      <c r="D24" s="25">
        <v>45936</v>
      </c>
      <c r="E24" s="3" t="s">
        <v>13</v>
      </c>
      <c r="F24" s="3" t="s">
        <v>14</v>
      </c>
      <c r="G24" s="3" t="s">
        <v>15</v>
      </c>
      <c r="H24" s="3" t="s">
        <v>222</v>
      </c>
      <c r="I24" s="3" t="s">
        <v>223</v>
      </c>
      <c r="J24" s="3" t="s">
        <v>18</v>
      </c>
      <c r="K24" s="3">
        <v>1865.98</v>
      </c>
      <c r="L24" s="3">
        <v>3</v>
      </c>
      <c r="M24" s="3">
        <v>331.52</v>
      </c>
      <c r="N24" s="3">
        <v>0.02</v>
      </c>
    </row>
    <row r="25" spans="1:14" ht="15.75" hidden="1" customHeight="1">
      <c r="C25" s="3" t="s">
        <v>596</v>
      </c>
      <c r="D25" s="25">
        <v>45839</v>
      </c>
      <c r="E25" s="3" t="s">
        <v>20</v>
      </c>
      <c r="F25" s="3" t="s">
        <v>21</v>
      </c>
      <c r="G25" s="3" t="s">
        <v>15</v>
      </c>
      <c r="H25" s="3" t="s">
        <v>597</v>
      </c>
      <c r="I25" s="3" t="s">
        <v>598</v>
      </c>
      <c r="J25" s="3" t="s">
        <v>35</v>
      </c>
      <c r="K25" s="3">
        <v>1865.82</v>
      </c>
      <c r="L25" s="3">
        <v>2</v>
      </c>
      <c r="M25" s="3">
        <v>137.66</v>
      </c>
      <c r="N25" s="3">
        <v>0.14000000000000001</v>
      </c>
    </row>
    <row r="26" spans="1:14" ht="15.75" hidden="1" customHeight="1">
      <c r="C26" s="3" t="s">
        <v>326</v>
      </c>
      <c r="D26" s="25">
        <v>46006</v>
      </c>
      <c r="E26" s="3" t="s">
        <v>13</v>
      </c>
      <c r="F26" s="3" t="s">
        <v>21</v>
      </c>
      <c r="G26" s="3" t="s">
        <v>15</v>
      </c>
      <c r="H26" s="3" t="s">
        <v>327</v>
      </c>
      <c r="I26" s="3" t="s">
        <v>328</v>
      </c>
      <c r="J26" s="3" t="s">
        <v>35</v>
      </c>
      <c r="K26" s="3">
        <v>1859.37</v>
      </c>
      <c r="L26" s="3">
        <v>10</v>
      </c>
      <c r="M26" s="3">
        <v>261.82</v>
      </c>
      <c r="N26" s="3">
        <v>0.18</v>
      </c>
    </row>
    <row r="27" spans="1:14" ht="15.75" hidden="1" customHeight="1">
      <c r="C27" s="3" t="s">
        <v>1139</v>
      </c>
      <c r="D27" s="25">
        <v>45951</v>
      </c>
      <c r="E27" s="3" t="s">
        <v>20</v>
      </c>
      <c r="F27" s="3" t="s">
        <v>21</v>
      </c>
      <c r="G27" s="3" t="s">
        <v>15</v>
      </c>
      <c r="H27" s="3" t="s">
        <v>1140</v>
      </c>
      <c r="I27" s="3" t="s">
        <v>1141</v>
      </c>
      <c r="J27" s="3" t="s">
        <v>39</v>
      </c>
      <c r="K27" s="3">
        <v>1852.07</v>
      </c>
      <c r="L27" s="3">
        <v>4</v>
      </c>
      <c r="M27" s="3">
        <v>656</v>
      </c>
      <c r="N27" s="3">
        <v>0.21</v>
      </c>
    </row>
    <row r="28" spans="1:14" ht="15.75" hidden="1" customHeight="1">
      <c r="C28" s="3" t="s">
        <v>908</v>
      </c>
      <c r="D28" s="25">
        <v>46018</v>
      </c>
      <c r="E28" s="3" t="s">
        <v>20</v>
      </c>
      <c r="F28" s="3" t="s">
        <v>32</v>
      </c>
      <c r="G28" s="3" t="s">
        <v>15</v>
      </c>
      <c r="H28" s="3" t="s">
        <v>909</v>
      </c>
      <c r="I28" s="3" t="s">
        <v>910</v>
      </c>
      <c r="J28" s="3" t="s">
        <v>39</v>
      </c>
      <c r="K28" s="3">
        <v>1849.88</v>
      </c>
      <c r="L28" s="3">
        <v>2</v>
      </c>
      <c r="M28" s="3">
        <v>599.6</v>
      </c>
      <c r="N28" s="3">
        <v>0.14000000000000001</v>
      </c>
    </row>
    <row r="29" spans="1:14" ht="15.75" hidden="1" customHeight="1">
      <c r="C29" s="3" t="s">
        <v>593</v>
      </c>
      <c r="D29" s="25">
        <v>45885</v>
      </c>
      <c r="E29" s="3" t="s">
        <v>28</v>
      </c>
      <c r="F29" s="3" t="s">
        <v>32</v>
      </c>
      <c r="G29" s="3" t="s">
        <v>15</v>
      </c>
      <c r="H29" s="3" t="s">
        <v>594</v>
      </c>
      <c r="I29" s="3" t="s">
        <v>595</v>
      </c>
      <c r="J29" s="3" t="s">
        <v>35</v>
      </c>
      <c r="K29" s="3">
        <v>1847.85</v>
      </c>
      <c r="L29" s="3">
        <v>5</v>
      </c>
      <c r="M29" s="3">
        <v>718.83</v>
      </c>
      <c r="N29" s="3">
        <v>0.2</v>
      </c>
    </row>
    <row r="30" spans="1:14" ht="15.75" hidden="1" customHeight="1">
      <c r="C30" s="3" t="s">
        <v>110</v>
      </c>
      <c r="D30" s="25">
        <v>45698</v>
      </c>
      <c r="E30" s="3" t="s">
        <v>28</v>
      </c>
      <c r="F30" s="3" t="s">
        <v>14</v>
      </c>
      <c r="G30" s="3" t="s">
        <v>15</v>
      </c>
      <c r="H30" s="3" t="s">
        <v>111</v>
      </c>
      <c r="I30" s="3" t="s">
        <v>112</v>
      </c>
      <c r="J30" s="3" t="s">
        <v>18</v>
      </c>
      <c r="K30" s="3">
        <v>1838.26</v>
      </c>
      <c r="L30" s="3">
        <v>9</v>
      </c>
      <c r="M30" s="3">
        <v>96.41</v>
      </c>
      <c r="N30" s="3">
        <v>0.18</v>
      </c>
    </row>
    <row r="31" spans="1:14" ht="15.75" hidden="1" customHeight="1">
      <c r="C31" s="3" t="s">
        <v>1178</v>
      </c>
      <c r="D31" s="25">
        <v>45985</v>
      </c>
      <c r="E31" s="3" t="s">
        <v>20</v>
      </c>
      <c r="F31" s="3" t="s">
        <v>21</v>
      </c>
      <c r="G31" s="3" t="s">
        <v>15</v>
      </c>
      <c r="H31" s="3" t="s">
        <v>1179</v>
      </c>
      <c r="I31" s="3" t="s">
        <v>1180</v>
      </c>
      <c r="J31" s="3" t="s">
        <v>35</v>
      </c>
      <c r="K31" s="3">
        <v>1838.1</v>
      </c>
      <c r="L31" s="3">
        <v>2</v>
      </c>
      <c r="M31" s="3">
        <v>250.96</v>
      </c>
      <c r="N31" s="3">
        <v>0.22</v>
      </c>
    </row>
    <row r="32" spans="1:14" ht="15.75" hidden="1" customHeight="1">
      <c r="C32" s="3" t="s">
        <v>944</v>
      </c>
      <c r="D32" s="25">
        <v>46017</v>
      </c>
      <c r="E32" s="3" t="s">
        <v>41</v>
      </c>
      <c r="F32" s="3" t="s">
        <v>21</v>
      </c>
      <c r="G32" s="3" t="s">
        <v>15</v>
      </c>
      <c r="H32" s="3" t="s">
        <v>945</v>
      </c>
      <c r="I32" s="3" t="s">
        <v>946</v>
      </c>
      <c r="J32" s="3" t="s">
        <v>39</v>
      </c>
      <c r="K32" s="3">
        <v>1837.03</v>
      </c>
      <c r="L32" s="3">
        <v>4</v>
      </c>
      <c r="M32" s="3">
        <v>726.12</v>
      </c>
      <c r="N32" s="3">
        <v>0.21</v>
      </c>
    </row>
    <row r="33" spans="1:14" ht="15.75" hidden="1" customHeight="1">
      <c r="C33" s="3" t="s">
        <v>1160</v>
      </c>
      <c r="D33" s="25">
        <v>45812</v>
      </c>
      <c r="E33" s="3" t="s">
        <v>41</v>
      </c>
      <c r="F33" s="3" t="s">
        <v>21</v>
      </c>
      <c r="G33" s="3" t="s">
        <v>15</v>
      </c>
      <c r="H33" s="3" t="s">
        <v>1161</v>
      </c>
      <c r="I33" s="3" t="s">
        <v>1162</v>
      </c>
      <c r="J33" s="3" t="s">
        <v>18</v>
      </c>
      <c r="K33" s="3">
        <v>1831.81</v>
      </c>
      <c r="L33" s="3">
        <v>5</v>
      </c>
      <c r="M33" s="3">
        <v>615.88</v>
      </c>
      <c r="N33" s="3">
        <v>0.12</v>
      </c>
    </row>
    <row r="34" spans="1:14" ht="15.75" hidden="1" customHeight="1">
      <c r="C34" s="3" t="s">
        <v>1019</v>
      </c>
      <c r="D34" s="25">
        <v>45986</v>
      </c>
      <c r="E34" s="3" t="s">
        <v>20</v>
      </c>
      <c r="F34" s="3" t="s">
        <v>32</v>
      </c>
      <c r="G34" s="3" t="s">
        <v>15</v>
      </c>
      <c r="H34" s="3" t="s">
        <v>1020</v>
      </c>
      <c r="I34" s="3" t="s">
        <v>1021</v>
      </c>
      <c r="J34" s="3" t="s">
        <v>35</v>
      </c>
      <c r="K34" s="3">
        <v>1830.95</v>
      </c>
      <c r="L34" s="3">
        <v>4</v>
      </c>
      <c r="M34" s="3">
        <v>536.85</v>
      </c>
      <c r="N34" s="3">
        <v>0.24</v>
      </c>
    </row>
    <row r="35" spans="1:14" ht="15.75" customHeight="1">
      <c r="A35" s="17" t="s">
        <v>1278</v>
      </c>
      <c r="C35" s="3" t="s">
        <v>728</v>
      </c>
      <c r="D35" s="25">
        <v>45950</v>
      </c>
      <c r="E35" s="3" t="s">
        <v>13</v>
      </c>
      <c r="F35" s="3" t="s">
        <v>14</v>
      </c>
      <c r="G35" s="3" t="s">
        <v>15</v>
      </c>
      <c r="H35" s="3" t="s">
        <v>729</v>
      </c>
      <c r="I35" s="3" t="s">
        <v>730</v>
      </c>
      <c r="J35" s="3" t="s">
        <v>18</v>
      </c>
      <c r="K35" s="3">
        <v>1821.91</v>
      </c>
      <c r="L35" s="3">
        <v>5</v>
      </c>
      <c r="M35" s="3">
        <v>206.47</v>
      </c>
      <c r="N35" s="3">
        <v>0.26</v>
      </c>
    </row>
    <row r="36" spans="1:14" ht="15.75" hidden="1" customHeight="1">
      <c r="C36" s="3" t="s">
        <v>191</v>
      </c>
      <c r="D36" s="25">
        <v>45938</v>
      </c>
      <c r="E36" s="3" t="s">
        <v>28</v>
      </c>
      <c r="F36" s="3" t="s">
        <v>21</v>
      </c>
      <c r="G36" s="3" t="s">
        <v>15</v>
      </c>
      <c r="H36" s="3" t="s">
        <v>192</v>
      </c>
      <c r="I36" s="3" t="s">
        <v>193</v>
      </c>
      <c r="J36" s="3" t="s">
        <v>18</v>
      </c>
      <c r="K36" s="3">
        <v>1819.14</v>
      </c>
      <c r="L36" s="3">
        <v>3</v>
      </c>
      <c r="M36" s="3">
        <v>717.51</v>
      </c>
      <c r="N36" s="3">
        <v>7.0000000000000007E-2</v>
      </c>
    </row>
    <row r="37" spans="1:14" ht="15.75" hidden="1" customHeight="1">
      <c r="C37" s="3" t="s">
        <v>950</v>
      </c>
      <c r="D37" s="25">
        <v>45888</v>
      </c>
      <c r="E37" s="3" t="s">
        <v>28</v>
      </c>
      <c r="F37" s="3" t="s">
        <v>14</v>
      </c>
      <c r="G37" s="3" t="s">
        <v>15</v>
      </c>
      <c r="H37" s="3" t="s">
        <v>951</v>
      </c>
      <c r="I37" s="3" t="s">
        <v>952</v>
      </c>
      <c r="J37" s="3" t="s">
        <v>39</v>
      </c>
      <c r="K37" s="3">
        <v>1816.8</v>
      </c>
      <c r="L37" s="3">
        <v>5</v>
      </c>
      <c r="M37" s="3">
        <v>522.53</v>
      </c>
      <c r="N37" s="3">
        <v>0.13</v>
      </c>
    </row>
    <row r="38" spans="1:14" ht="15.75" hidden="1" customHeight="1">
      <c r="C38" s="3" t="s">
        <v>902</v>
      </c>
      <c r="D38" s="25">
        <v>45895</v>
      </c>
      <c r="E38" s="3" t="s">
        <v>20</v>
      </c>
      <c r="F38" s="3" t="s">
        <v>32</v>
      </c>
      <c r="G38" s="3" t="s">
        <v>15</v>
      </c>
      <c r="H38" s="3" t="s">
        <v>903</v>
      </c>
      <c r="I38" s="3" t="s">
        <v>904</v>
      </c>
      <c r="J38" s="3" t="s">
        <v>18</v>
      </c>
      <c r="K38" s="3">
        <v>1813.17</v>
      </c>
      <c r="L38" s="3">
        <v>7</v>
      </c>
      <c r="M38" s="3">
        <v>579.05999999999995</v>
      </c>
      <c r="N38" s="3">
        <v>0.05</v>
      </c>
    </row>
    <row r="39" spans="1:14" ht="15.75" hidden="1" customHeight="1">
      <c r="C39" s="3" t="s">
        <v>431</v>
      </c>
      <c r="D39" s="25">
        <v>45940</v>
      </c>
      <c r="E39" s="3" t="s">
        <v>41</v>
      </c>
      <c r="F39" s="3" t="s">
        <v>14</v>
      </c>
      <c r="G39" s="3" t="s">
        <v>15</v>
      </c>
      <c r="H39" s="3" t="s">
        <v>432</v>
      </c>
      <c r="I39" s="3" t="s">
        <v>433</v>
      </c>
      <c r="J39" s="3" t="s">
        <v>18</v>
      </c>
      <c r="K39" s="3">
        <v>1802.81</v>
      </c>
      <c r="L39" s="3">
        <v>8</v>
      </c>
      <c r="M39" s="3">
        <v>147.41999999999999</v>
      </c>
      <c r="N39" s="3">
        <v>0.14000000000000001</v>
      </c>
    </row>
    <row r="40" spans="1:14" ht="15.75" hidden="1" customHeight="1">
      <c r="C40" s="3" t="s">
        <v>509</v>
      </c>
      <c r="D40" s="25">
        <v>45891</v>
      </c>
      <c r="E40" s="3" t="s">
        <v>41</v>
      </c>
      <c r="F40" s="3" t="s">
        <v>32</v>
      </c>
      <c r="G40" s="3" t="s">
        <v>15</v>
      </c>
      <c r="H40" s="3" t="s">
        <v>510</v>
      </c>
      <c r="I40" s="3" t="s">
        <v>511</v>
      </c>
      <c r="J40" s="3" t="s">
        <v>18</v>
      </c>
      <c r="K40" s="3">
        <v>1801.25</v>
      </c>
      <c r="L40" s="3">
        <v>10</v>
      </c>
      <c r="M40" s="3">
        <v>471.48</v>
      </c>
      <c r="N40" s="3">
        <v>0.26</v>
      </c>
    </row>
    <row r="41" spans="1:14" ht="15.75" hidden="1" customHeight="1">
      <c r="C41" s="3" t="s">
        <v>50</v>
      </c>
      <c r="D41" s="25">
        <v>45778</v>
      </c>
      <c r="E41" s="3" t="s">
        <v>28</v>
      </c>
      <c r="F41" s="3" t="s">
        <v>32</v>
      </c>
      <c r="G41" s="3" t="s">
        <v>15</v>
      </c>
      <c r="H41" s="3" t="s">
        <v>51</v>
      </c>
      <c r="I41" s="3" t="s">
        <v>52</v>
      </c>
      <c r="J41" s="3" t="s">
        <v>18</v>
      </c>
      <c r="K41" s="3">
        <v>1797.94</v>
      </c>
      <c r="L41" s="3">
        <v>10</v>
      </c>
      <c r="M41" s="3">
        <v>632.53</v>
      </c>
      <c r="N41" s="3">
        <v>0.21</v>
      </c>
    </row>
    <row r="42" spans="1:14" ht="15.75" hidden="1" customHeight="1">
      <c r="C42" s="3" t="s">
        <v>242</v>
      </c>
      <c r="D42" s="25">
        <v>45719</v>
      </c>
      <c r="E42" s="3" t="s">
        <v>28</v>
      </c>
      <c r="F42" s="3" t="s">
        <v>32</v>
      </c>
      <c r="G42" s="3" t="s">
        <v>15</v>
      </c>
      <c r="H42" s="3" t="s">
        <v>243</v>
      </c>
      <c r="I42" s="3" t="s">
        <v>244</v>
      </c>
      <c r="J42" s="3" t="s">
        <v>35</v>
      </c>
      <c r="K42" s="3">
        <v>1785.41</v>
      </c>
      <c r="L42" s="3">
        <v>10</v>
      </c>
      <c r="M42" s="3">
        <v>556.27</v>
      </c>
      <c r="N42" s="3">
        <v>0.09</v>
      </c>
    </row>
    <row r="43" spans="1:14" ht="15.75" hidden="1" customHeight="1">
      <c r="C43" s="3" t="s">
        <v>53</v>
      </c>
      <c r="D43" s="25">
        <v>45976</v>
      </c>
      <c r="E43" s="3" t="s">
        <v>41</v>
      </c>
      <c r="F43" s="3" t="s">
        <v>14</v>
      </c>
      <c r="G43" s="3" t="s">
        <v>15</v>
      </c>
      <c r="H43" s="3" t="s">
        <v>54</v>
      </c>
      <c r="I43" s="3" t="s">
        <v>55</v>
      </c>
      <c r="J43" s="3" t="s">
        <v>35</v>
      </c>
      <c r="K43" s="3">
        <v>1781.4</v>
      </c>
      <c r="L43" s="3">
        <v>1</v>
      </c>
      <c r="M43" s="3">
        <v>361.91</v>
      </c>
      <c r="N43" s="3">
        <v>0.18</v>
      </c>
    </row>
    <row r="44" spans="1:14" ht="15.75" hidden="1" customHeight="1">
      <c r="C44" s="3" t="s">
        <v>314</v>
      </c>
      <c r="D44" s="25">
        <v>45809</v>
      </c>
      <c r="E44" s="3" t="s">
        <v>20</v>
      </c>
      <c r="F44" s="3" t="s">
        <v>21</v>
      </c>
      <c r="G44" s="3" t="s">
        <v>15</v>
      </c>
      <c r="H44" s="3" t="s">
        <v>315</v>
      </c>
      <c r="I44" s="3" t="s">
        <v>316</v>
      </c>
      <c r="J44" s="3" t="s">
        <v>39</v>
      </c>
      <c r="K44" s="3">
        <v>1774.27</v>
      </c>
      <c r="L44" s="3">
        <v>10</v>
      </c>
      <c r="M44" s="3">
        <v>408.23</v>
      </c>
      <c r="N44" s="3">
        <v>0.03</v>
      </c>
    </row>
    <row r="45" spans="1:14" ht="15.75" hidden="1" customHeight="1">
      <c r="C45" s="3" t="s">
        <v>1199</v>
      </c>
      <c r="D45" s="25">
        <v>45794</v>
      </c>
      <c r="E45" s="3" t="s">
        <v>20</v>
      </c>
      <c r="F45" s="3" t="s">
        <v>21</v>
      </c>
      <c r="G45" s="3" t="s">
        <v>15</v>
      </c>
      <c r="H45" s="3" t="s">
        <v>1200</v>
      </c>
      <c r="I45" s="3" t="s">
        <v>1201</v>
      </c>
      <c r="J45" s="3" t="s">
        <v>35</v>
      </c>
      <c r="K45" s="3">
        <v>1773.6</v>
      </c>
      <c r="L45" s="3">
        <v>2</v>
      </c>
      <c r="M45" s="3">
        <v>406.2</v>
      </c>
      <c r="N45" s="3">
        <v>0.04</v>
      </c>
    </row>
    <row r="46" spans="1:14" ht="15.75" hidden="1" customHeight="1">
      <c r="C46" s="3" t="s">
        <v>611</v>
      </c>
      <c r="D46" s="25">
        <v>45967</v>
      </c>
      <c r="E46" s="3" t="s">
        <v>13</v>
      </c>
      <c r="F46" s="3" t="s">
        <v>21</v>
      </c>
      <c r="G46" s="3" t="s">
        <v>15</v>
      </c>
      <c r="H46" s="3" t="s">
        <v>612</v>
      </c>
      <c r="I46" s="3" t="s">
        <v>613</v>
      </c>
      <c r="J46" s="3" t="s">
        <v>39</v>
      </c>
      <c r="K46" s="3">
        <v>1771.2</v>
      </c>
      <c r="L46" s="3">
        <v>6</v>
      </c>
      <c r="M46" s="3">
        <v>430.56</v>
      </c>
      <c r="N46" s="3">
        <v>0.22</v>
      </c>
    </row>
    <row r="47" spans="1:14" ht="15.75" hidden="1" customHeight="1">
      <c r="C47" s="3" t="s">
        <v>119</v>
      </c>
      <c r="D47" s="25">
        <v>45719</v>
      </c>
      <c r="E47" s="3" t="s">
        <v>13</v>
      </c>
      <c r="F47" s="3" t="s">
        <v>14</v>
      </c>
      <c r="G47" s="3" t="s">
        <v>15</v>
      </c>
      <c r="H47" s="3" t="s">
        <v>120</v>
      </c>
      <c r="I47" s="3" t="s">
        <v>121</v>
      </c>
      <c r="J47" s="3" t="s">
        <v>18</v>
      </c>
      <c r="K47" s="3">
        <v>1769.91</v>
      </c>
      <c r="L47" s="3">
        <v>10</v>
      </c>
      <c r="M47" s="3">
        <v>403.97</v>
      </c>
      <c r="N47" s="3">
        <v>0.01</v>
      </c>
    </row>
    <row r="48" spans="1:14" ht="15.75" customHeight="1">
      <c r="A48" s="17" t="s">
        <v>1279</v>
      </c>
      <c r="C48" s="3" t="s">
        <v>350</v>
      </c>
      <c r="D48" s="25">
        <v>45729</v>
      </c>
      <c r="E48" s="3" t="s">
        <v>13</v>
      </c>
      <c r="F48" s="3" t="s">
        <v>14</v>
      </c>
      <c r="G48" s="3" t="s">
        <v>15</v>
      </c>
      <c r="H48" s="3" t="s">
        <v>351</v>
      </c>
      <c r="I48" s="3" t="s">
        <v>352</v>
      </c>
      <c r="J48" s="3" t="s">
        <v>35</v>
      </c>
      <c r="K48" s="3">
        <v>1763.25</v>
      </c>
      <c r="L48" s="3">
        <v>7</v>
      </c>
      <c r="M48" s="3">
        <v>560.69000000000005</v>
      </c>
      <c r="N48" s="3">
        <v>0.28999999999999998</v>
      </c>
    </row>
    <row r="49" spans="3:14" ht="15.75" hidden="1" customHeight="1">
      <c r="C49" s="3" t="s">
        <v>1124</v>
      </c>
      <c r="D49" s="25">
        <v>45675</v>
      </c>
      <c r="E49" s="3" t="s">
        <v>28</v>
      </c>
      <c r="F49" s="3" t="s">
        <v>21</v>
      </c>
      <c r="G49" s="3" t="s">
        <v>15</v>
      </c>
      <c r="H49" s="3" t="s">
        <v>1125</v>
      </c>
      <c r="I49" s="3" t="s">
        <v>1126</v>
      </c>
      <c r="J49" s="3" t="s">
        <v>35</v>
      </c>
      <c r="K49" s="3">
        <v>1761.83</v>
      </c>
      <c r="L49" s="3">
        <v>6</v>
      </c>
      <c r="M49" s="3">
        <v>171.94</v>
      </c>
      <c r="N49" s="3">
        <v>0.01</v>
      </c>
    </row>
    <row r="50" spans="3:14" ht="15.75" customHeight="1">
      <c r="C50" s="3" t="s">
        <v>956</v>
      </c>
      <c r="D50" s="25">
        <v>45933</v>
      </c>
      <c r="E50" s="3" t="s">
        <v>20</v>
      </c>
      <c r="F50" s="3" t="s">
        <v>14</v>
      </c>
      <c r="G50" s="3" t="s">
        <v>15</v>
      </c>
      <c r="H50" s="3" t="s">
        <v>957</v>
      </c>
      <c r="I50" s="3" t="s">
        <v>958</v>
      </c>
      <c r="J50" s="3" t="s">
        <v>35</v>
      </c>
      <c r="K50" s="3">
        <v>1758.73</v>
      </c>
      <c r="L50" s="3">
        <v>8</v>
      </c>
      <c r="M50" s="3">
        <v>210.05</v>
      </c>
      <c r="N50" s="3">
        <v>0.3</v>
      </c>
    </row>
    <row r="51" spans="3:14" ht="15.75" hidden="1" customHeight="1">
      <c r="C51" s="3" t="s">
        <v>134</v>
      </c>
      <c r="D51" s="25">
        <v>45684</v>
      </c>
      <c r="E51" s="3" t="s">
        <v>20</v>
      </c>
      <c r="F51" s="3" t="s">
        <v>32</v>
      </c>
      <c r="G51" s="3" t="s">
        <v>15</v>
      </c>
      <c r="H51" s="3" t="s">
        <v>135</v>
      </c>
      <c r="I51" s="3" t="s">
        <v>136</v>
      </c>
      <c r="J51" s="3" t="s">
        <v>35</v>
      </c>
      <c r="K51" s="3">
        <v>1758.53</v>
      </c>
      <c r="L51" s="3">
        <v>10</v>
      </c>
      <c r="M51" s="3">
        <v>422.09</v>
      </c>
      <c r="N51" s="3">
        <v>0.24</v>
      </c>
    </row>
    <row r="52" spans="3:14" ht="15.75" hidden="1" customHeight="1">
      <c r="C52" s="3" t="s">
        <v>479</v>
      </c>
      <c r="D52" s="25">
        <v>45834</v>
      </c>
      <c r="E52" s="3" t="s">
        <v>20</v>
      </c>
      <c r="F52" s="3" t="s">
        <v>32</v>
      </c>
      <c r="G52" s="3" t="s">
        <v>15</v>
      </c>
      <c r="H52" s="3" t="s">
        <v>480</v>
      </c>
      <c r="I52" s="3" t="s">
        <v>481</v>
      </c>
      <c r="J52" s="3" t="s">
        <v>18</v>
      </c>
      <c r="K52" s="3">
        <v>1748.34</v>
      </c>
      <c r="L52" s="3">
        <v>8</v>
      </c>
      <c r="M52" s="3">
        <v>612.09</v>
      </c>
      <c r="N52" s="3">
        <v>0.15</v>
      </c>
    </row>
    <row r="53" spans="3:14" ht="15.75" hidden="1" customHeight="1">
      <c r="C53" s="3" t="s">
        <v>233</v>
      </c>
      <c r="D53" s="25">
        <v>45766</v>
      </c>
      <c r="E53" s="3" t="s">
        <v>28</v>
      </c>
      <c r="F53" s="3" t="s">
        <v>32</v>
      </c>
      <c r="G53" s="3" t="s">
        <v>15</v>
      </c>
      <c r="H53" s="3" t="s">
        <v>234</v>
      </c>
      <c r="I53" s="3" t="s">
        <v>235</v>
      </c>
      <c r="J53" s="3" t="s">
        <v>35</v>
      </c>
      <c r="K53" s="3">
        <v>1746.75</v>
      </c>
      <c r="L53" s="3">
        <v>10</v>
      </c>
      <c r="M53" s="3">
        <v>504.57</v>
      </c>
      <c r="N53" s="3">
        <v>0.27</v>
      </c>
    </row>
    <row r="54" spans="3:14" ht="15.75" hidden="1" customHeight="1">
      <c r="C54" s="3" t="s">
        <v>383</v>
      </c>
      <c r="D54" s="25">
        <v>45715</v>
      </c>
      <c r="E54" s="3" t="s">
        <v>28</v>
      </c>
      <c r="F54" s="3" t="s">
        <v>32</v>
      </c>
      <c r="G54" s="3" t="s">
        <v>15</v>
      </c>
      <c r="H54" s="3" t="s">
        <v>384</v>
      </c>
      <c r="I54" s="3" t="s">
        <v>385</v>
      </c>
      <c r="J54" s="3" t="s">
        <v>35</v>
      </c>
      <c r="K54" s="3">
        <v>1743.77</v>
      </c>
      <c r="L54" s="3">
        <v>4</v>
      </c>
      <c r="M54" s="3">
        <v>381.81</v>
      </c>
      <c r="N54" s="3">
        <v>0.21</v>
      </c>
    </row>
    <row r="55" spans="3:14" ht="15.75" hidden="1" customHeight="1">
      <c r="C55" s="3" t="s">
        <v>794</v>
      </c>
      <c r="D55" s="25">
        <v>46015</v>
      </c>
      <c r="E55" s="3" t="s">
        <v>41</v>
      </c>
      <c r="F55" s="3" t="s">
        <v>21</v>
      </c>
      <c r="G55" s="3" t="s">
        <v>15</v>
      </c>
      <c r="H55" s="3" t="s">
        <v>795</v>
      </c>
      <c r="I55" s="3" t="s">
        <v>796</v>
      </c>
      <c r="J55" s="3" t="s">
        <v>39</v>
      </c>
      <c r="K55" s="3">
        <v>1743.12</v>
      </c>
      <c r="L55" s="3">
        <v>8</v>
      </c>
      <c r="M55" s="3">
        <v>108.73</v>
      </c>
      <c r="N55" s="3">
        <v>0.28000000000000003</v>
      </c>
    </row>
    <row r="56" spans="3:14" ht="15.75" hidden="1" customHeight="1">
      <c r="C56" s="3" t="s">
        <v>161</v>
      </c>
      <c r="D56" s="25">
        <v>45769</v>
      </c>
      <c r="E56" s="3" t="s">
        <v>13</v>
      </c>
      <c r="F56" s="3" t="s">
        <v>21</v>
      </c>
      <c r="G56" s="3" t="s">
        <v>15</v>
      </c>
      <c r="H56" s="3" t="s">
        <v>162</v>
      </c>
      <c r="I56" s="3" t="s">
        <v>163</v>
      </c>
      <c r="J56" s="3" t="s">
        <v>39</v>
      </c>
      <c r="K56" s="3">
        <v>1740.41</v>
      </c>
      <c r="L56" s="3">
        <v>10</v>
      </c>
      <c r="M56" s="3">
        <v>565.72</v>
      </c>
      <c r="N56" s="3">
        <v>0.2</v>
      </c>
    </row>
    <row r="57" spans="3:14" ht="15.75" hidden="1" customHeight="1">
      <c r="C57" s="3" t="s">
        <v>1130</v>
      </c>
      <c r="D57" s="25">
        <v>45667</v>
      </c>
      <c r="E57" s="3" t="s">
        <v>28</v>
      </c>
      <c r="F57" s="3" t="s">
        <v>32</v>
      </c>
      <c r="G57" s="3" t="s">
        <v>15</v>
      </c>
      <c r="H57" s="3" t="s">
        <v>1131</v>
      </c>
      <c r="I57" s="3" t="s">
        <v>1132</v>
      </c>
      <c r="J57" s="3" t="s">
        <v>39</v>
      </c>
      <c r="K57" s="3">
        <v>1736.25</v>
      </c>
      <c r="L57" s="3">
        <v>7</v>
      </c>
      <c r="M57" s="3">
        <v>259.55</v>
      </c>
      <c r="N57" s="3">
        <v>0.01</v>
      </c>
    </row>
    <row r="58" spans="3:14" ht="15.75" hidden="1" customHeight="1">
      <c r="C58" s="3" t="s">
        <v>1133</v>
      </c>
      <c r="D58" s="25">
        <v>45943</v>
      </c>
      <c r="E58" s="3" t="s">
        <v>20</v>
      </c>
      <c r="F58" s="3" t="s">
        <v>21</v>
      </c>
      <c r="G58" s="3" t="s">
        <v>15</v>
      </c>
      <c r="H58" s="3" t="s">
        <v>1134</v>
      </c>
      <c r="I58" s="3" t="s">
        <v>1135</v>
      </c>
      <c r="J58" s="3" t="s">
        <v>35</v>
      </c>
      <c r="K58" s="3">
        <v>1733.33</v>
      </c>
      <c r="L58" s="3">
        <v>5</v>
      </c>
      <c r="M58" s="3">
        <v>151.26</v>
      </c>
      <c r="N58" s="3">
        <v>0.02</v>
      </c>
    </row>
    <row r="59" spans="3:14" ht="15.75" hidden="1" customHeight="1">
      <c r="C59" s="3" t="s">
        <v>803</v>
      </c>
      <c r="D59" s="25">
        <v>45971</v>
      </c>
      <c r="E59" s="3" t="s">
        <v>28</v>
      </c>
      <c r="F59" s="3" t="s">
        <v>32</v>
      </c>
      <c r="G59" s="3" t="s">
        <v>15</v>
      </c>
      <c r="H59" s="3" t="s">
        <v>804</v>
      </c>
      <c r="I59" s="3" t="s">
        <v>805</v>
      </c>
      <c r="J59" s="3" t="s">
        <v>39</v>
      </c>
      <c r="K59" s="3">
        <v>1729.7</v>
      </c>
      <c r="L59" s="3">
        <v>3</v>
      </c>
      <c r="M59" s="3">
        <v>167.52</v>
      </c>
      <c r="N59" s="3">
        <v>0.27</v>
      </c>
    </row>
    <row r="60" spans="3:14" ht="15.75" hidden="1" customHeight="1">
      <c r="C60" s="3" t="s">
        <v>248</v>
      </c>
      <c r="D60" s="25">
        <v>45878</v>
      </c>
      <c r="E60" s="3" t="s">
        <v>28</v>
      </c>
      <c r="F60" s="3" t="s">
        <v>32</v>
      </c>
      <c r="G60" s="3" t="s">
        <v>15</v>
      </c>
      <c r="H60" s="3" t="s">
        <v>249</v>
      </c>
      <c r="I60" s="3" t="s">
        <v>250</v>
      </c>
      <c r="J60" s="3" t="s">
        <v>39</v>
      </c>
      <c r="K60" s="3">
        <v>1723.73</v>
      </c>
      <c r="L60" s="3">
        <v>8</v>
      </c>
      <c r="M60" s="3">
        <v>619.78</v>
      </c>
      <c r="N60" s="3">
        <v>0.02</v>
      </c>
    </row>
    <row r="61" spans="3:14" ht="15.75" hidden="1" customHeight="1">
      <c r="C61" s="3" t="s">
        <v>1136</v>
      </c>
      <c r="D61" s="25">
        <v>45918</v>
      </c>
      <c r="E61" s="3" t="s">
        <v>20</v>
      </c>
      <c r="F61" s="3" t="s">
        <v>14</v>
      </c>
      <c r="G61" s="3" t="s">
        <v>15</v>
      </c>
      <c r="H61" s="3" t="s">
        <v>1137</v>
      </c>
      <c r="I61" s="3" t="s">
        <v>1138</v>
      </c>
      <c r="J61" s="3" t="s">
        <v>35</v>
      </c>
      <c r="K61" s="3">
        <v>1722.72</v>
      </c>
      <c r="L61" s="3">
        <v>5</v>
      </c>
      <c r="M61" s="3">
        <v>600.37</v>
      </c>
      <c r="N61" s="3">
        <v>0.18</v>
      </c>
    </row>
    <row r="62" spans="3:14" ht="15.75" hidden="1" customHeight="1">
      <c r="C62" s="3" t="s">
        <v>845</v>
      </c>
      <c r="D62" s="25">
        <v>46005</v>
      </c>
      <c r="E62" s="3" t="s">
        <v>13</v>
      </c>
      <c r="F62" s="3" t="s">
        <v>21</v>
      </c>
      <c r="G62" s="3" t="s">
        <v>15</v>
      </c>
      <c r="H62" s="3" t="s">
        <v>846</v>
      </c>
      <c r="I62" s="3" t="s">
        <v>847</v>
      </c>
      <c r="J62" s="3" t="s">
        <v>35</v>
      </c>
      <c r="K62" s="3">
        <v>1720.18</v>
      </c>
      <c r="L62" s="3">
        <v>6</v>
      </c>
      <c r="M62" s="3">
        <v>316.95999999999998</v>
      </c>
      <c r="N62" s="3">
        <v>0.26</v>
      </c>
    </row>
    <row r="63" spans="3:14" ht="15.75" hidden="1" customHeight="1">
      <c r="C63" s="3" t="s">
        <v>782</v>
      </c>
      <c r="D63" s="25">
        <v>45845</v>
      </c>
      <c r="E63" s="3" t="s">
        <v>28</v>
      </c>
      <c r="F63" s="3" t="s">
        <v>14</v>
      </c>
      <c r="G63" s="3" t="s">
        <v>15</v>
      </c>
      <c r="H63" s="3" t="s">
        <v>783</v>
      </c>
      <c r="I63" s="3" t="s">
        <v>784</v>
      </c>
      <c r="J63" s="3" t="s">
        <v>35</v>
      </c>
      <c r="K63" s="3">
        <v>1719.58</v>
      </c>
      <c r="L63" s="3">
        <v>6</v>
      </c>
      <c r="M63" s="3">
        <v>218.91</v>
      </c>
      <c r="N63" s="3">
        <v>0.15</v>
      </c>
    </row>
    <row r="64" spans="3:14" ht="15.75" hidden="1" customHeight="1">
      <c r="C64" s="3" t="s">
        <v>734</v>
      </c>
      <c r="D64" s="25">
        <v>45682</v>
      </c>
      <c r="E64" s="3" t="s">
        <v>20</v>
      </c>
      <c r="F64" s="3" t="s">
        <v>32</v>
      </c>
      <c r="G64" s="3" t="s">
        <v>15</v>
      </c>
      <c r="H64" s="3" t="s">
        <v>735</v>
      </c>
      <c r="I64" s="3" t="s">
        <v>736</v>
      </c>
      <c r="J64" s="3" t="s">
        <v>39</v>
      </c>
      <c r="K64" s="3">
        <v>1709.85</v>
      </c>
      <c r="L64" s="3">
        <v>9</v>
      </c>
      <c r="M64" s="3">
        <v>148.34</v>
      </c>
      <c r="N64" s="3">
        <v>0</v>
      </c>
    </row>
    <row r="65" spans="3:14" ht="15.75" hidden="1" customHeight="1">
      <c r="C65" s="3" t="s">
        <v>530</v>
      </c>
      <c r="D65" s="25">
        <v>45805</v>
      </c>
      <c r="E65" s="3" t="s">
        <v>20</v>
      </c>
      <c r="F65" s="3" t="s">
        <v>32</v>
      </c>
      <c r="G65" s="3" t="s">
        <v>15</v>
      </c>
      <c r="H65" s="3" t="s">
        <v>531</v>
      </c>
      <c r="I65" s="3" t="s">
        <v>532</v>
      </c>
      <c r="J65" s="3" t="s">
        <v>35</v>
      </c>
      <c r="K65" s="3">
        <v>1704.17</v>
      </c>
      <c r="L65" s="3">
        <v>6</v>
      </c>
      <c r="M65" s="3">
        <v>545.87</v>
      </c>
      <c r="N65" s="3">
        <v>0.1</v>
      </c>
    </row>
    <row r="66" spans="3:14" ht="15.75" hidden="1" customHeight="1">
      <c r="C66" s="3" t="s">
        <v>92</v>
      </c>
      <c r="D66" s="25">
        <v>45851</v>
      </c>
      <c r="E66" s="3" t="s">
        <v>20</v>
      </c>
      <c r="F66" s="3" t="s">
        <v>32</v>
      </c>
      <c r="G66" s="3" t="s">
        <v>15</v>
      </c>
      <c r="H66" s="3" t="s">
        <v>93</v>
      </c>
      <c r="I66" s="3" t="s">
        <v>94</v>
      </c>
      <c r="J66" s="3" t="s">
        <v>35</v>
      </c>
      <c r="K66" s="3">
        <v>1696.84</v>
      </c>
      <c r="L66" s="3">
        <v>4</v>
      </c>
      <c r="M66" s="3">
        <v>348.3</v>
      </c>
      <c r="N66" s="3">
        <v>0.23</v>
      </c>
    </row>
    <row r="67" spans="3:14" ht="15.75" hidden="1" customHeight="1">
      <c r="C67" s="3" t="s">
        <v>257</v>
      </c>
      <c r="D67" s="25">
        <v>45737</v>
      </c>
      <c r="E67" s="3" t="s">
        <v>28</v>
      </c>
      <c r="F67" s="3" t="s">
        <v>21</v>
      </c>
      <c r="G67" s="3" t="s">
        <v>15</v>
      </c>
      <c r="H67" s="3" t="s">
        <v>258</v>
      </c>
      <c r="I67" s="3" t="s">
        <v>259</v>
      </c>
      <c r="J67" s="3" t="s">
        <v>39</v>
      </c>
      <c r="K67" s="3">
        <v>1686.71</v>
      </c>
      <c r="L67" s="3">
        <v>6</v>
      </c>
      <c r="M67" s="3">
        <v>159.78</v>
      </c>
      <c r="N67" s="3">
        <v>0.27</v>
      </c>
    </row>
    <row r="68" spans="3:14" ht="15.75" hidden="1" customHeight="1">
      <c r="C68" s="3" t="s">
        <v>503</v>
      </c>
      <c r="D68" s="25">
        <v>45749</v>
      </c>
      <c r="E68" s="3" t="s">
        <v>28</v>
      </c>
      <c r="F68" s="3" t="s">
        <v>32</v>
      </c>
      <c r="G68" s="3" t="s">
        <v>15</v>
      </c>
      <c r="H68" s="3" t="s">
        <v>504</v>
      </c>
      <c r="I68" s="3" t="s">
        <v>505</v>
      </c>
      <c r="J68" s="3" t="s">
        <v>18</v>
      </c>
      <c r="K68" s="3">
        <v>1667.01</v>
      </c>
      <c r="L68" s="3">
        <v>1</v>
      </c>
      <c r="M68" s="3">
        <v>481.7</v>
      </c>
      <c r="N68" s="3">
        <v>0.19</v>
      </c>
    </row>
    <row r="69" spans="3:14" ht="15.75" hidden="1" customHeight="1">
      <c r="C69" s="3" t="s">
        <v>614</v>
      </c>
      <c r="D69" s="25">
        <v>45815</v>
      </c>
      <c r="E69" s="3" t="s">
        <v>41</v>
      </c>
      <c r="F69" s="3" t="s">
        <v>14</v>
      </c>
      <c r="G69" s="3" t="s">
        <v>15</v>
      </c>
      <c r="H69" s="3" t="s">
        <v>615</v>
      </c>
      <c r="I69" s="3" t="s">
        <v>616</v>
      </c>
      <c r="J69" s="3" t="s">
        <v>39</v>
      </c>
      <c r="K69" s="3">
        <v>1652.21</v>
      </c>
      <c r="L69" s="3">
        <v>2</v>
      </c>
      <c r="M69" s="3">
        <v>491.85</v>
      </c>
      <c r="N69" s="3">
        <v>0.19</v>
      </c>
    </row>
    <row r="70" spans="3:14" ht="15.75" hidden="1" customHeight="1">
      <c r="C70" s="3" t="s">
        <v>155</v>
      </c>
      <c r="D70" s="25">
        <v>45717</v>
      </c>
      <c r="E70" s="3" t="s">
        <v>28</v>
      </c>
      <c r="F70" s="3" t="s">
        <v>14</v>
      </c>
      <c r="G70" s="3" t="s">
        <v>15</v>
      </c>
      <c r="H70" s="3" t="s">
        <v>156</v>
      </c>
      <c r="I70" s="3" t="s">
        <v>157</v>
      </c>
      <c r="J70" s="3" t="s">
        <v>35</v>
      </c>
      <c r="K70" s="3">
        <v>1648.64</v>
      </c>
      <c r="L70" s="3">
        <v>3</v>
      </c>
      <c r="M70" s="3">
        <v>450.65</v>
      </c>
      <c r="N70" s="3">
        <v>0.2</v>
      </c>
    </row>
    <row r="71" spans="3:14" ht="15.75" hidden="1" customHeight="1">
      <c r="C71" s="3" t="s">
        <v>1121</v>
      </c>
      <c r="D71" s="25">
        <v>45876</v>
      </c>
      <c r="E71" s="3" t="s">
        <v>28</v>
      </c>
      <c r="F71" s="3" t="s">
        <v>21</v>
      </c>
      <c r="G71" s="3" t="s">
        <v>15</v>
      </c>
      <c r="H71" s="3" t="s">
        <v>1122</v>
      </c>
      <c r="I71" s="3" t="s">
        <v>1123</v>
      </c>
      <c r="J71" s="3" t="s">
        <v>39</v>
      </c>
      <c r="K71" s="3">
        <v>1644.46</v>
      </c>
      <c r="L71" s="3">
        <v>4</v>
      </c>
      <c r="M71" s="3">
        <v>294.88</v>
      </c>
      <c r="N71" s="3">
        <v>0.14000000000000001</v>
      </c>
    </row>
    <row r="72" spans="3:14" ht="15.75" hidden="1" customHeight="1">
      <c r="C72" s="3" t="s">
        <v>416</v>
      </c>
      <c r="D72" s="25">
        <v>45718</v>
      </c>
      <c r="E72" s="3" t="s">
        <v>13</v>
      </c>
      <c r="F72" s="3" t="s">
        <v>14</v>
      </c>
      <c r="G72" s="3" t="s">
        <v>15</v>
      </c>
      <c r="H72" s="3" t="s">
        <v>417</v>
      </c>
      <c r="I72" s="3" t="s">
        <v>418</v>
      </c>
      <c r="J72" s="3" t="s">
        <v>35</v>
      </c>
      <c r="K72" s="3">
        <v>1640.42</v>
      </c>
      <c r="L72" s="3">
        <v>8</v>
      </c>
      <c r="M72" s="3">
        <v>132.34</v>
      </c>
      <c r="N72" s="3">
        <v>0.12</v>
      </c>
    </row>
    <row r="73" spans="3:14" ht="15.75" hidden="1" customHeight="1">
      <c r="C73" s="3" t="s">
        <v>1073</v>
      </c>
      <c r="D73" s="25">
        <v>45999</v>
      </c>
      <c r="E73" s="3" t="s">
        <v>41</v>
      </c>
      <c r="F73" s="3" t="s">
        <v>32</v>
      </c>
      <c r="G73" s="3" t="s">
        <v>15</v>
      </c>
      <c r="H73" s="3" t="s">
        <v>1074</v>
      </c>
      <c r="I73" s="3" t="s">
        <v>1075</v>
      </c>
      <c r="J73" s="3" t="s">
        <v>39</v>
      </c>
      <c r="K73" s="3">
        <v>1639.23</v>
      </c>
      <c r="L73" s="3">
        <v>1</v>
      </c>
      <c r="M73" s="3">
        <v>229.31</v>
      </c>
      <c r="N73" s="3">
        <v>0.28000000000000003</v>
      </c>
    </row>
    <row r="74" spans="3:14" ht="15.75" hidden="1" customHeight="1">
      <c r="C74" s="3" t="s">
        <v>1220</v>
      </c>
      <c r="D74" s="25">
        <v>45727</v>
      </c>
      <c r="E74" s="3" t="s">
        <v>28</v>
      </c>
      <c r="F74" s="3" t="s">
        <v>21</v>
      </c>
      <c r="G74" s="3" t="s">
        <v>15</v>
      </c>
      <c r="H74" s="3" t="s">
        <v>1221</v>
      </c>
      <c r="I74" s="3" t="s">
        <v>1222</v>
      </c>
      <c r="J74" s="3" t="s">
        <v>35</v>
      </c>
      <c r="K74" s="3">
        <v>1638.6</v>
      </c>
      <c r="L74" s="3">
        <v>6</v>
      </c>
      <c r="M74" s="3">
        <v>600.12</v>
      </c>
      <c r="N74" s="3">
        <v>7.0000000000000007E-2</v>
      </c>
    </row>
    <row r="75" spans="3:14" ht="15.75" hidden="1" customHeight="1">
      <c r="C75" s="3" t="s">
        <v>770</v>
      </c>
      <c r="D75" s="25">
        <v>45882</v>
      </c>
      <c r="E75" s="3" t="s">
        <v>41</v>
      </c>
      <c r="F75" s="3" t="s">
        <v>32</v>
      </c>
      <c r="G75" s="3" t="s">
        <v>15</v>
      </c>
      <c r="H75" s="3" t="s">
        <v>771</v>
      </c>
      <c r="I75" s="3" t="s">
        <v>772</v>
      </c>
      <c r="J75" s="3" t="s">
        <v>39</v>
      </c>
      <c r="K75" s="3">
        <v>1637.21</v>
      </c>
      <c r="L75" s="3">
        <v>3</v>
      </c>
      <c r="M75" s="3">
        <v>123.83</v>
      </c>
      <c r="N75" s="3">
        <v>0.19</v>
      </c>
    </row>
    <row r="76" spans="3:14" ht="15.75" hidden="1" customHeight="1">
      <c r="C76" s="3" t="s">
        <v>392</v>
      </c>
      <c r="D76" s="25">
        <v>45912</v>
      </c>
      <c r="E76" s="3" t="s">
        <v>28</v>
      </c>
      <c r="F76" s="3" t="s">
        <v>32</v>
      </c>
      <c r="G76" s="3" t="s">
        <v>15</v>
      </c>
      <c r="H76" s="3" t="s">
        <v>393</v>
      </c>
      <c r="I76" s="3" t="s">
        <v>394</v>
      </c>
      <c r="J76" s="3" t="s">
        <v>35</v>
      </c>
      <c r="K76" s="3">
        <v>1636.6</v>
      </c>
      <c r="L76" s="3">
        <v>6</v>
      </c>
      <c r="M76" s="3">
        <v>292.58999999999997</v>
      </c>
      <c r="N76" s="3">
        <v>0.01</v>
      </c>
    </row>
    <row r="77" spans="3:14" ht="15.75" hidden="1" customHeight="1">
      <c r="C77" s="3" t="s">
        <v>218</v>
      </c>
      <c r="D77" s="25">
        <v>45764</v>
      </c>
      <c r="E77" s="3" t="s">
        <v>28</v>
      </c>
      <c r="F77" s="3" t="s">
        <v>32</v>
      </c>
      <c r="G77" s="3" t="s">
        <v>15</v>
      </c>
      <c r="H77" s="3" t="s">
        <v>219</v>
      </c>
      <c r="I77" s="3" t="s">
        <v>220</v>
      </c>
      <c r="J77" s="3" t="s">
        <v>35</v>
      </c>
      <c r="K77" s="3">
        <v>1635.46</v>
      </c>
      <c r="L77" s="3">
        <v>7</v>
      </c>
      <c r="M77" s="3">
        <v>176.5</v>
      </c>
      <c r="N77" s="3">
        <v>0.04</v>
      </c>
    </row>
    <row r="78" spans="3:14" ht="15.75" hidden="1" customHeight="1">
      <c r="C78" s="3" t="s">
        <v>410</v>
      </c>
      <c r="D78" s="25">
        <v>45702</v>
      </c>
      <c r="E78" s="3" t="s">
        <v>20</v>
      </c>
      <c r="F78" s="3" t="s">
        <v>32</v>
      </c>
      <c r="G78" s="3" t="s">
        <v>15</v>
      </c>
      <c r="H78" s="3" t="s">
        <v>411</v>
      </c>
      <c r="I78" s="3" t="s">
        <v>412</v>
      </c>
      <c r="J78" s="3" t="s">
        <v>18</v>
      </c>
      <c r="K78" s="3">
        <v>1626.13</v>
      </c>
      <c r="L78" s="3">
        <v>8</v>
      </c>
      <c r="M78" s="3">
        <v>288.89</v>
      </c>
      <c r="N78" s="3">
        <v>0.14000000000000001</v>
      </c>
    </row>
    <row r="79" spans="3:14" ht="15.75" hidden="1" customHeight="1">
      <c r="C79" s="3" t="s">
        <v>1085</v>
      </c>
      <c r="D79" s="25">
        <v>45684</v>
      </c>
      <c r="E79" s="3" t="s">
        <v>20</v>
      </c>
      <c r="F79" s="3" t="s">
        <v>14</v>
      </c>
      <c r="G79" s="3" t="s">
        <v>15</v>
      </c>
      <c r="H79" s="3" t="s">
        <v>1086</v>
      </c>
      <c r="I79" s="3" t="s">
        <v>1087</v>
      </c>
      <c r="J79" s="3" t="s">
        <v>18</v>
      </c>
      <c r="K79" s="3">
        <v>1622.48</v>
      </c>
      <c r="L79" s="3">
        <v>8</v>
      </c>
      <c r="M79" s="3">
        <v>99.38</v>
      </c>
      <c r="N79" s="3">
        <v>7.0000000000000007E-2</v>
      </c>
    </row>
    <row r="80" spans="3:14" ht="15.75" hidden="1" customHeight="1">
      <c r="C80" s="3" t="s">
        <v>359</v>
      </c>
      <c r="D80" s="25">
        <v>45833</v>
      </c>
      <c r="E80" s="3" t="s">
        <v>28</v>
      </c>
      <c r="F80" s="3" t="s">
        <v>14</v>
      </c>
      <c r="G80" s="3" t="s">
        <v>15</v>
      </c>
      <c r="H80" s="3" t="s">
        <v>360</v>
      </c>
      <c r="I80" s="3" t="s">
        <v>361</v>
      </c>
      <c r="J80" s="3" t="s">
        <v>35</v>
      </c>
      <c r="K80" s="3">
        <v>1620.77</v>
      </c>
      <c r="L80" s="3">
        <v>1</v>
      </c>
      <c r="M80" s="3">
        <v>542.28</v>
      </c>
      <c r="N80" s="3">
        <v>0.19</v>
      </c>
    </row>
    <row r="81" spans="3:14" ht="15.75" hidden="1" customHeight="1">
      <c r="C81" s="3" t="s">
        <v>983</v>
      </c>
      <c r="D81" s="25">
        <v>45897</v>
      </c>
      <c r="E81" s="3" t="s">
        <v>20</v>
      </c>
      <c r="F81" s="3" t="s">
        <v>21</v>
      </c>
      <c r="G81" s="3" t="s">
        <v>15</v>
      </c>
      <c r="H81" s="3" t="s">
        <v>984</v>
      </c>
      <c r="I81" s="3" t="s">
        <v>985</v>
      </c>
      <c r="J81" s="3" t="s">
        <v>35</v>
      </c>
      <c r="K81" s="3">
        <v>1617.36</v>
      </c>
      <c r="L81" s="3">
        <v>9</v>
      </c>
      <c r="M81" s="3">
        <v>366.31</v>
      </c>
      <c r="N81" s="3">
        <v>0.25</v>
      </c>
    </row>
    <row r="82" spans="3:14" ht="15.75" hidden="1" customHeight="1">
      <c r="C82" s="3" t="s">
        <v>473</v>
      </c>
      <c r="D82" s="25">
        <v>45965</v>
      </c>
      <c r="E82" s="3" t="s">
        <v>20</v>
      </c>
      <c r="F82" s="3" t="s">
        <v>21</v>
      </c>
      <c r="G82" s="3" t="s">
        <v>15</v>
      </c>
      <c r="H82" s="3" t="s">
        <v>474</v>
      </c>
      <c r="I82" s="3" t="s">
        <v>475</v>
      </c>
      <c r="J82" s="3" t="s">
        <v>39</v>
      </c>
      <c r="K82" s="3">
        <v>1612.1</v>
      </c>
      <c r="L82" s="3">
        <v>6</v>
      </c>
      <c r="M82" s="3">
        <v>520.71</v>
      </c>
      <c r="N82" s="3">
        <v>0.27</v>
      </c>
    </row>
    <row r="83" spans="3:14" ht="15.75" hidden="1" customHeight="1">
      <c r="C83" s="3" t="s">
        <v>488</v>
      </c>
      <c r="D83" s="25">
        <v>45862</v>
      </c>
      <c r="E83" s="3" t="s">
        <v>13</v>
      </c>
      <c r="F83" s="3" t="s">
        <v>21</v>
      </c>
      <c r="G83" s="3" t="s">
        <v>15</v>
      </c>
      <c r="H83" s="3" t="s">
        <v>489</v>
      </c>
      <c r="I83" s="3" t="s">
        <v>490</v>
      </c>
      <c r="J83" s="3" t="s">
        <v>18</v>
      </c>
      <c r="K83" s="3">
        <v>1607.01</v>
      </c>
      <c r="L83" s="3">
        <v>8</v>
      </c>
      <c r="M83" s="3">
        <v>427.48</v>
      </c>
      <c r="N83" s="3">
        <v>0.13</v>
      </c>
    </row>
    <row r="84" spans="3:14" ht="15.75" hidden="1" customHeight="1">
      <c r="C84" s="3" t="s">
        <v>1007</v>
      </c>
      <c r="D84" s="25">
        <v>45682</v>
      </c>
      <c r="E84" s="3" t="s">
        <v>28</v>
      </c>
      <c r="F84" s="3" t="s">
        <v>32</v>
      </c>
      <c r="G84" s="3" t="s">
        <v>15</v>
      </c>
      <c r="H84" s="3" t="s">
        <v>1008</v>
      </c>
      <c r="I84" s="3" t="s">
        <v>1009</v>
      </c>
      <c r="J84" s="3" t="s">
        <v>35</v>
      </c>
      <c r="K84" s="3">
        <v>1588.7</v>
      </c>
      <c r="L84" s="3">
        <v>5</v>
      </c>
      <c r="M84" s="3">
        <v>231.36</v>
      </c>
      <c r="N84" s="3">
        <v>0.22</v>
      </c>
    </row>
    <row r="85" spans="3:14" ht="15.75" hidden="1" customHeight="1">
      <c r="C85" s="3" t="s">
        <v>833</v>
      </c>
      <c r="D85" s="25">
        <v>45927</v>
      </c>
      <c r="E85" s="3" t="s">
        <v>13</v>
      </c>
      <c r="F85" s="3" t="s">
        <v>14</v>
      </c>
      <c r="G85" s="3" t="s">
        <v>15</v>
      </c>
      <c r="H85" s="3" t="s">
        <v>834</v>
      </c>
      <c r="I85" s="3" t="s">
        <v>835</v>
      </c>
      <c r="J85" s="3" t="s">
        <v>39</v>
      </c>
      <c r="K85" s="3">
        <v>1582.69</v>
      </c>
      <c r="L85" s="3">
        <v>6</v>
      </c>
      <c r="M85" s="3">
        <v>129.41999999999999</v>
      </c>
      <c r="N85" s="3">
        <v>0</v>
      </c>
    </row>
    <row r="86" spans="3:14" ht="15.75" hidden="1" customHeight="1">
      <c r="C86" s="3" t="s">
        <v>338</v>
      </c>
      <c r="D86" s="25">
        <v>45799</v>
      </c>
      <c r="E86" s="3" t="s">
        <v>13</v>
      </c>
      <c r="F86" s="3" t="s">
        <v>21</v>
      </c>
      <c r="G86" s="3" t="s">
        <v>15</v>
      </c>
      <c r="H86" s="3" t="s">
        <v>339</v>
      </c>
      <c r="I86" s="3" t="s">
        <v>340</v>
      </c>
      <c r="J86" s="3" t="s">
        <v>18</v>
      </c>
      <c r="K86" s="3">
        <v>1578.82</v>
      </c>
      <c r="L86" s="3">
        <v>8</v>
      </c>
      <c r="M86" s="3">
        <v>253.36</v>
      </c>
      <c r="N86" s="3">
        <v>7.0000000000000007E-2</v>
      </c>
    </row>
    <row r="87" spans="3:14" ht="15.75" hidden="1" customHeight="1">
      <c r="C87" s="3" t="s">
        <v>1097</v>
      </c>
      <c r="D87" s="25">
        <v>45950</v>
      </c>
      <c r="E87" s="3" t="s">
        <v>20</v>
      </c>
      <c r="F87" s="3" t="s">
        <v>32</v>
      </c>
      <c r="G87" s="3" t="s">
        <v>15</v>
      </c>
      <c r="H87" s="3" t="s">
        <v>1098</v>
      </c>
      <c r="I87" s="3" t="s">
        <v>1099</v>
      </c>
      <c r="J87" s="3" t="s">
        <v>39</v>
      </c>
      <c r="K87" s="3">
        <v>1572.78</v>
      </c>
      <c r="L87" s="3">
        <v>1</v>
      </c>
      <c r="M87" s="3">
        <v>456.48</v>
      </c>
      <c r="N87" s="3">
        <v>0.28999999999999998</v>
      </c>
    </row>
    <row r="88" spans="3:14" ht="15.75" hidden="1" customHeight="1">
      <c r="C88" s="3" t="s">
        <v>167</v>
      </c>
      <c r="D88" s="25">
        <v>45718</v>
      </c>
      <c r="E88" s="3" t="s">
        <v>20</v>
      </c>
      <c r="F88" s="3" t="s">
        <v>21</v>
      </c>
      <c r="G88" s="3" t="s">
        <v>15</v>
      </c>
      <c r="H88" s="3" t="s">
        <v>168</v>
      </c>
      <c r="I88" s="3" t="s">
        <v>169</v>
      </c>
      <c r="J88" s="3" t="s">
        <v>35</v>
      </c>
      <c r="K88" s="3">
        <v>1568.93</v>
      </c>
      <c r="L88" s="3">
        <v>7</v>
      </c>
      <c r="M88" s="3">
        <v>460.99</v>
      </c>
      <c r="N88" s="3">
        <v>0.12</v>
      </c>
    </row>
    <row r="89" spans="3:14" ht="15.75" customHeight="1">
      <c r="C89" s="3" t="s">
        <v>419</v>
      </c>
      <c r="D89" s="25">
        <v>45703</v>
      </c>
      <c r="E89" s="3" t="s">
        <v>20</v>
      </c>
      <c r="F89" s="3" t="s">
        <v>14</v>
      </c>
      <c r="G89" s="3" t="s">
        <v>15</v>
      </c>
      <c r="H89" s="3" t="s">
        <v>420</v>
      </c>
      <c r="I89" s="3" t="s">
        <v>421</v>
      </c>
      <c r="J89" s="3" t="s">
        <v>35</v>
      </c>
      <c r="K89" s="3">
        <v>1565.77</v>
      </c>
      <c r="L89" s="3">
        <v>5</v>
      </c>
      <c r="M89" s="3">
        <v>236.78</v>
      </c>
      <c r="N89" s="3">
        <v>0.3</v>
      </c>
    </row>
    <row r="90" spans="3:14" ht="15.75" hidden="1" customHeight="1">
      <c r="C90" s="3" t="s">
        <v>767</v>
      </c>
      <c r="D90" s="25">
        <v>45872</v>
      </c>
      <c r="E90" s="3" t="s">
        <v>13</v>
      </c>
      <c r="F90" s="3" t="s">
        <v>14</v>
      </c>
      <c r="G90" s="3" t="s">
        <v>15</v>
      </c>
      <c r="H90" s="3" t="s">
        <v>768</v>
      </c>
      <c r="I90" s="3" t="s">
        <v>769</v>
      </c>
      <c r="J90" s="3" t="s">
        <v>39</v>
      </c>
      <c r="K90" s="3">
        <v>1558.76</v>
      </c>
      <c r="L90" s="3">
        <v>3</v>
      </c>
      <c r="M90" s="3">
        <v>507.8</v>
      </c>
      <c r="N90" s="3">
        <v>0.1</v>
      </c>
    </row>
    <row r="91" spans="3:14" ht="15.75" hidden="1" customHeight="1">
      <c r="C91" s="3" t="s">
        <v>1208</v>
      </c>
      <c r="D91" s="25">
        <v>45694</v>
      </c>
      <c r="E91" s="3" t="s">
        <v>41</v>
      </c>
      <c r="F91" s="3" t="s">
        <v>14</v>
      </c>
      <c r="G91" s="3" t="s">
        <v>15</v>
      </c>
      <c r="H91" s="3" t="s">
        <v>1209</v>
      </c>
      <c r="I91" s="3" t="s">
        <v>1210</v>
      </c>
      <c r="J91" s="3" t="s">
        <v>35</v>
      </c>
      <c r="K91" s="3">
        <v>1549.76</v>
      </c>
      <c r="L91" s="3">
        <v>7</v>
      </c>
      <c r="M91" s="3">
        <v>191.38</v>
      </c>
      <c r="N91" s="3">
        <v>0.11</v>
      </c>
    </row>
    <row r="92" spans="3:14" ht="15.75" hidden="1" customHeight="1">
      <c r="C92" s="3" t="s">
        <v>443</v>
      </c>
      <c r="D92" s="25">
        <v>45668</v>
      </c>
      <c r="E92" s="3" t="s">
        <v>28</v>
      </c>
      <c r="F92" s="3" t="s">
        <v>21</v>
      </c>
      <c r="G92" s="3" t="s">
        <v>15</v>
      </c>
      <c r="H92" s="3" t="s">
        <v>444</v>
      </c>
      <c r="I92" s="3" t="s">
        <v>445</v>
      </c>
      <c r="J92" s="3" t="s">
        <v>18</v>
      </c>
      <c r="K92" s="3">
        <v>1549.29</v>
      </c>
      <c r="L92" s="3">
        <v>4</v>
      </c>
      <c r="M92" s="3">
        <v>380.37</v>
      </c>
      <c r="N92" s="3">
        <v>0.08</v>
      </c>
    </row>
    <row r="93" spans="3:14" ht="15.75" hidden="1" customHeight="1">
      <c r="C93" s="3" t="s">
        <v>1184</v>
      </c>
      <c r="D93" s="25">
        <v>46007</v>
      </c>
      <c r="E93" s="3" t="s">
        <v>20</v>
      </c>
      <c r="F93" s="3" t="s">
        <v>32</v>
      </c>
      <c r="G93" s="3" t="s">
        <v>15</v>
      </c>
      <c r="H93" s="3" t="s">
        <v>1185</v>
      </c>
      <c r="I93" s="3" t="s">
        <v>1186</v>
      </c>
      <c r="J93" s="3" t="s">
        <v>18</v>
      </c>
      <c r="K93" s="3">
        <v>1547.46</v>
      </c>
      <c r="L93" s="3">
        <v>1</v>
      </c>
      <c r="M93" s="3">
        <v>106.77</v>
      </c>
      <c r="N93" s="3">
        <v>0.13</v>
      </c>
    </row>
    <row r="94" spans="3:14" ht="15.75" hidden="1" customHeight="1">
      <c r="C94" s="3" t="s">
        <v>446</v>
      </c>
      <c r="D94" s="25">
        <v>45710</v>
      </c>
      <c r="E94" s="3" t="s">
        <v>28</v>
      </c>
      <c r="F94" s="3" t="s">
        <v>21</v>
      </c>
      <c r="G94" s="3" t="s">
        <v>15</v>
      </c>
      <c r="H94" s="3" t="s">
        <v>447</v>
      </c>
      <c r="I94" s="3" t="s">
        <v>448</v>
      </c>
      <c r="J94" s="3" t="s">
        <v>35</v>
      </c>
      <c r="K94" s="3">
        <v>1545.09</v>
      </c>
      <c r="L94" s="3">
        <v>5</v>
      </c>
      <c r="M94" s="3">
        <v>162.62</v>
      </c>
      <c r="N94" s="3">
        <v>0.28999999999999998</v>
      </c>
    </row>
    <row r="95" spans="3:14" ht="15.75" hidden="1" customHeight="1">
      <c r="C95" s="3" t="s">
        <v>836</v>
      </c>
      <c r="D95" s="25">
        <v>46010</v>
      </c>
      <c r="E95" s="3" t="s">
        <v>41</v>
      </c>
      <c r="F95" s="3" t="s">
        <v>32</v>
      </c>
      <c r="G95" s="3" t="s">
        <v>15</v>
      </c>
      <c r="H95" s="3" t="s">
        <v>837</v>
      </c>
      <c r="I95" s="3" t="s">
        <v>838</v>
      </c>
      <c r="J95" s="3" t="s">
        <v>39</v>
      </c>
      <c r="K95" s="3">
        <v>1536.31</v>
      </c>
      <c r="L95" s="3">
        <v>7</v>
      </c>
      <c r="M95" s="3">
        <v>538.41999999999996</v>
      </c>
      <c r="N95" s="3">
        <v>0.27</v>
      </c>
    </row>
    <row r="96" spans="3:14" ht="15.75" hidden="1" customHeight="1">
      <c r="C96" s="3" t="s">
        <v>677</v>
      </c>
      <c r="D96" s="25">
        <v>45901</v>
      </c>
      <c r="E96" s="3" t="s">
        <v>20</v>
      </c>
      <c r="F96" s="3" t="s">
        <v>21</v>
      </c>
      <c r="G96" s="3" t="s">
        <v>15</v>
      </c>
      <c r="H96" s="3" t="s">
        <v>678</v>
      </c>
      <c r="I96" s="3" t="s">
        <v>679</v>
      </c>
      <c r="J96" s="3" t="s">
        <v>35</v>
      </c>
      <c r="K96" s="3">
        <v>1535.26</v>
      </c>
      <c r="L96" s="3">
        <v>2</v>
      </c>
      <c r="M96" s="3">
        <v>528.84</v>
      </c>
      <c r="N96" s="3">
        <v>0.28000000000000003</v>
      </c>
    </row>
    <row r="97" spans="3:14" ht="15.75" hidden="1" customHeight="1">
      <c r="C97" s="3" t="s">
        <v>548</v>
      </c>
      <c r="D97" s="25">
        <v>45949</v>
      </c>
      <c r="E97" s="3" t="s">
        <v>28</v>
      </c>
      <c r="F97" s="3" t="s">
        <v>21</v>
      </c>
      <c r="G97" s="3" t="s">
        <v>15</v>
      </c>
      <c r="H97" s="3" t="s">
        <v>549</v>
      </c>
      <c r="I97" s="3" t="s">
        <v>550</v>
      </c>
      <c r="J97" s="3" t="s">
        <v>18</v>
      </c>
      <c r="K97" s="3">
        <v>1531.51</v>
      </c>
      <c r="L97" s="3">
        <v>10</v>
      </c>
      <c r="M97" s="3">
        <v>580.32000000000005</v>
      </c>
      <c r="N97" s="3">
        <v>0.3</v>
      </c>
    </row>
    <row r="98" spans="3:14" ht="15.75" hidden="1" customHeight="1">
      <c r="C98" s="3" t="s">
        <v>245</v>
      </c>
      <c r="D98" s="25">
        <v>45986</v>
      </c>
      <c r="E98" s="3" t="s">
        <v>28</v>
      </c>
      <c r="F98" s="3" t="s">
        <v>21</v>
      </c>
      <c r="G98" s="3" t="s">
        <v>15</v>
      </c>
      <c r="H98" s="3" t="s">
        <v>246</v>
      </c>
      <c r="I98" s="3" t="s">
        <v>247</v>
      </c>
      <c r="J98" s="3" t="s">
        <v>39</v>
      </c>
      <c r="K98" s="3">
        <v>1524.37</v>
      </c>
      <c r="L98" s="3">
        <v>8</v>
      </c>
      <c r="M98" s="3">
        <v>264.33999999999997</v>
      </c>
      <c r="N98" s="3">
        <v>0.06</v>
      </c>
    </row>
    <row r="99" spans="3:14" ht="15.75" hidden="1" customHeight="1">
      <c r="C99" s="3" t="s">
        <v>332</v>
      </c>
      <c r="D99" s="25">
        <v>45763</v>
      </c>
      <c r="E99" s="3" t="s">
        <v>13</v>
      </c>
      <c r="F99" s="3" t="s">
        <v>32</v>
      </c>
      <c r="G99" s="3" t="s">
        <v>15</v>
      </c>
      <c r="H99" s="3" t="s">
        <v>333</v>
      </c>
      <c r="I99" s="3" t="s">
        <v>334</v>
      </c>
      <c r="J99" s="3" t="s">
        <v>35</v>
      </c>
      <c r="K99" s="3">
        <v>1521.47</v>
      </c>
      <c r="L99" s="3">
        <v>1</v>
      </c>
      <c r="M99" s="3">
        <v>120.08</v>
      </c>
      <c r="N99" s="3">
        <v>0.04</v>
      </c>
    </row>
    <row r="100" spans="3:14" ht="15.75" hidden="1" customHeight="1">
      <c r="C100" s="3" t="s">
        <v>554</v>
      </c>
      <c r="D100" s="25">
        <v>45951</v>
      </c>
      <c r="E100" s="3" t="s">
        <v>20</v>
      </c>
      <c r="F100" s="3" t="s">
        <v>32</v>
      </c>
      <c r="G100" s="3" t="s">
        <v>15</v>
      </c>
      <c r="H100" s="3" t="s">
        <v>555</v>
      </c>
      <c r="I100" s="3" t="s">
        <v>556</v>
      </c>
      <c r="J100" s="3" t="s">
        <v>18</v>
      </c>
      <c r="K100" s="3">
        <v>1513.83</v>
      </c>
      <c r="L100" s="3">
        <v>10</v>
      </c>
      <c r="M100" s="3">
        <v>365.61</v>
      </c>
      <c r="N100" s="3">
        <v>0.22</v>
      </c>
    </row>
    <row r="101" spans="3:14" ht="15" hidden="1" customHeight="1">
      <c r="C101" s="3" t="s">
        <v>1010</v>
      </c>
      <c r="D101" s="25">
        <v>45693</v>
      </c>
      <c r="E101" s="3" t="s">
        <v>41</v>
      </c>
      <c r="F101" s="3" t="s">
        <v>21</v>
      </c>
      <c r="G101" s="3" t="s">
        <v>15</v>
      </c>
      <c r="H101" s="3" t="s">
        <v>1011</v>
      </c>
      <c r="I101" s="3" t="s">
        <v>1012</v>
      </c>
      <c r="J101" s="3" t="s">
        <v>35</v>
      </c>
      <c r="K101" s="3">
        <v>1509.6</v>
      </c>
      <c r="L101" s="3">
        <v>7</v>
      </c>
      <c r="M101" s="3">
        <v>281.69</v>
      </c>
      <c r="N101" s="3">
        <v>0.21</v>
      </c>
    </row>
    <row r="102" spans="3:14" ht="15" hidden="1" customHeight="1">
      <c r="C102" s="3" t="s">
        <v>452</v>
      </c>
      <c r="D102" s="25">
        <v>45784</v>
      </c>
      <c r="E102" s="3" t="s">
        <v>13</v>
      </c>
      <c r="F102" s="3" t="s">
        <v>21</v>
      </c>
      <c r="G102" s="3" t="s">
        <v>15</v>
      </c>
      <c r="H102" s="3" t="s">
        <v>453</v>
      </c>
      <c r="I102" s="3" t="s">
        <v>454</v>
      </c>
      <c r="J102" s="3" t="s">
        <v>18</v>
      </c>
      <c r="K102" s="3">
        <v>1506.95</v>
      </c>
      <c r="L102" s="3">
        <v>4</v>
      </c>
      <c r="M102" s="3">
        <v>382.62</v>
      </c>
      <c r="N102" s="3">
        <v>0.06</v>
      </c>
    </row>
    <row r="103" spans="3:14" ht="15" hidden="1" customHeight="1">
      <c r="C103" s="3" t="s">
        <v>650</v>
      </c>
      <c r="D103" s="25">
        <v>45821</v>
      </c>
      <c r="E103" s="3" t="s">
        <v>20</v>
      </c>
      <c r="F103" s="3" t="s">
        <v>32</v>
      </c>
      <c r="G103" s="3" t="s">
        <v>15</v>
      </c>
      <c r="H103" s="3" t="s">
        <v>651</v>
      </c>
      <c r="I103" s="3" t="s">
        <v>652</v>
      </c>
      <c r="J103" s="3" t="s">
        <v>35</v>
      </c>
      <c r="K103" s="3">
        <v>1497.91</v>
      </c>
      <c r="L103" s="3">
        <v>1</v>
      </c>
      <c r="M103" s="3">
        <v>140.24</v>
      </c>
      <c r="N103" s="3">
        <v>0.03</v>
      </c>
    </row>
    <row r="104" spans="3:14" ht="15" hidden="1" customHeight="1">
      <c r="C104" s="3" t="s">
        <v>173</v>
      </c>
      <c r="D104" s="25">
        <v>45734</v>
      </c>
      <c r="E104" s="3" t="s">
        <v>13</v>
      </c>
      <c r="F104" s="3" t="s">
        <v>21</v>
      </c>
      <c r="G104" s="3" t="s">
        <v>15</v>
      </c>
      <c r="H104" s="3" t="s">
        <v>174</v>
      </c>
      <c r="I104" s="3" t="s">
        <v>175</v>
      </c>
      <c r="J104" s="3" t="s">
        <v>18</v>
      </c>
      <c r="K104" s="3">
        <v>1496.75</v>
      </c>
      <c r="L104" s="3">
        <v>1</v>
      </c>
      <c r="M104" s="3">
        <v>144.83000000000001</v>
      </c>
      <c r="N104" s="3">
        <v>0.13</v>
      </c>
    </row>
    <row r="105" spans="3:14" ht="15" hidden="1" customHeight="1">
      <c r="C105" s="3" t="s">
        <v>740</v>
      </c>
      <c r="D105" s="25">
        <v>45934</v>
      </c>
      <c r="E105" s="3" t="s">
        <v>20</v>
      </c>
      <c r="F105" s="3" t="s">
        <v>21</v>
      </c>
      <c r="G105" s="3" t="s">
        <v>15</v>
      </c>
      <c r="H105" s="3" t="s">
        <v>741</v>
      </c>
      <c r="I105" s="3" t="s">
        <v>742</v>
      </c>
      <c r="J105" s="3" t="s">
        <v>18</v>
      </c>
      <c r="K105" s="3">
        <v>1493.18</v>
      </c>
      <c r="L105" s="3">
        <v>10</v>
      </c>
      <c r="M105" s="3">
        <v>326.08</v>
      </c>
      <c r="N105" s="3">
        <v>0.19</v>
      </c>
    </row>
    <row r="106" spans="3:14" ht="15" hidden="1" customHeight="1">
      <c r="C106" s="3" t="s">
        <v>125</v>
      </c>
      <c r="D106" s="25">
        <v>45849</v>
      </c>
      <c r="E106" s="3" t="s">
        <v>28</v>
      </c>
      <c r="F106" s="3" t="s">
        <v>21</v>
      </c>
      <c r="G106" s="3" t="s">
        <v>15</v>
      </c>
      <c r="H106" s="3" t="s">
        <v>126</v>
      </c>
      <c r="I106" s="3" t="s">
        <v>127</v>
      </c>
      <c r="J106" s="3" t="s">
        <v>18</v>
      </c>
      <c r="K106" s="3">
        <v>1486.02</v>
      </c>
      <c r="L106" s="3">
        <v>4</v>
      </c>
      <c r="M106" s="3">
        <v>470.08</v>
      </c>
      <c r="N106" s="3">
        <v>0.28000000000000003</v>
      </c>
    </row>
    <row r="107" spans="3:14" ht="15" hidden="1" customHeight="1">
      <c r="C107" s="3" t="s">
        <v>1004</v>
      </c>
      <c r="D107" s="25">
        <v>45681</v>
      </c>
      <c r="E107" s="3" t="s">
        <v>28</v>
      </c>
      <c r="F107" s="3" t="s">
        <v>14</v>
      </c>
      <c r="G107" s="3" t="s">
        <v>15</v>
      </c>
      <c r="H107" s="3" t="s">
        <v>1005</v>
      </c>
      <c r="I107" s="3" t="s">
        <v>1006</v>
      </c>
      <c r="J107" s="3" t="s">
        <v>35</v>
      </c>
      <c r="K107" s="3">
        <v>1474.1</v>
      </c>
      <c r="L107" s="3">
        <v>9</v>
      </c>
      <c r="M107" s="3">
        <v>150.21</v>
      </c>
      <c r="N107" s="3">
        <v>0</v>
      </c>
    </row>
    <row r="108" spans="3:14" ht="15" hidden="1" customHeight="1">
      <c r="C108" s="3" t="s">
        <v>854</v>
      </c>
      <c r="D108" s="25">
        <v>45668</v>
      </c>
      <c r="E108" s="3" t="s">
        <v>13</v>
      </c>
      <c r="F108" s="3" t="s">
        <v>21</v>
      </c>
      <c r="G108" s="3" t="s">
        <v>15</v>
      </c>
      <c r="H108" s="3" t="s">
        <v>855</v>
      </c>
      <c r="I108" s="3" t="s">
        <v>856</v>
      </c>
      <c r="J108" s="3" t="s">
        <v>39</v>
      </c>
      <c r="K108" s="3">
        <v>1473.99</v>
      </c>
      <c r="L108" s="3">
        <v>2</v>
      </c>
      <c r="M108" s="3">
        <v>105.48</v>
      </c>
      <c r="N108" s="3">
        <v>0.18</v>
      </c>
    </row>
    <row r="109" spans="3:14" ht="15" hidden="1" customHeight="1">
      <c r="C109" s="3" t="s">
        <v>659</v>
      </c>
      <c r="D109" s="25">
        <v>45955</v>
      </c>
      <c r="E109" s="3" t="s">
        <v>28</v>
      </c>
      <c r="F109" s="3" t="s">
        <v>14</v>
      </c>
      <c r="G109" s="3" t="s">
        <v>15</v>
      </c>
      <c r="H109" s="3" t="s">
        <v>660</v>
      </c>
      <c r="I109" s="3" t="s">
        <v>661</v>
      </c>
      <c r="J109" s="3" t="s">
        <v>18</v>
      </c>
      <c r="K109" s="3">
        <v>1473.26</v>
      </c>
      <c r="L109" s="3">
        <v>5</v>
      </c>
      <c r="M109" s="3">
        <v>139.62</v>
      </c>
      <c r="N109" s="3">
        <v>0.18</v>
      </c>
    </row>
    <row r="110" spans="3:14" ht="15" hidden="1" customHeight="1">
      <c r="C110" s="3" t="s">
        <v>974</v>
      </c>
      <c r="D110" s="25">
        <v>45718</v>
      </c>
      <c r="E110" s="3" t="s">
        <v>20</v>
      </c>
      <c r="F110" s="3" t="s">
        <v>21</v>
      </c>
      <c r="G110" s="3" t="s">
        <v>15</v>
      </c>
      <c r="H110" s="3" t="s">
        <v>975</v>
      </c>
      <c r="I110" s="3" t="s">
        <v>976</v>
      </c>
      <c r="J110" s="3" t="s">
        <v>39</v>
      </c>
      <c r="K110" s="3">
        <v>1472.56</v>
      </c>
      <c r="L110" s="3">
        <v>7</v>
      </c>
      <c r="M110" s="3">
        <v>504.11</v>
      </c>
      <c r="N110" s="3">
        <v>0.06</v>
      </c>
    </row>
    <row r="111" spans="3:14" ht="15" hidden="1" customHeight="1">
      <c r="C111" s="3" t="s">
        <v>86</v>
      </c>
      <c r="D111" s="25">
        <v>45999</v>
      </c>
      <c r="E111" s="3" t="s">
        <v>28</v>
      </c>
      <c r="F111" s="3" t="s">
        <v>14</v>
      </c>
      <c r="G111" s="3" t="s">
        <v>15</v>
      </c>
      <c r="H111" s="3" t="s">
        <v>87</v>
      </c>
      <c r="I111" s="3" t="s">
        <v>88</v>
      </c>
      <c r="J111" s="3" t="s">
        <v>39</v>
      </c>
      <c r="K111" s="3">
        <v>1467.17</v>
      </c>
      <c r="L111" s="3">
        <v>10</v>
      </c>
      <c r="M111" s="3">
        <v>157.78</v>
      </c>
      <c r="N111" s="3">
        <v>0.2</v>
      </c>
    </row>
    <row r="112" spans="3:14" ht="15" hidden="1" customHeight="1">
      <c r="C112" s="3" t="s">
        <v>200</v>
      </c>
      <c r="D112" s="25">
        <v>45904</v>
      </c>
      <c r="E112" s="3" t="s">
        <v>28</v>
      </c>
      <c r="F112" s="3" t="s">
        <v>14</v>
      </c>
      <c r="G112" s="3" t="s">
        <v>15</v>
      </c>
      <c r="H112" s="3" t="s">
        <v>201</v>
      </c>
      <c r="I112" s="3" t="s">
        <v>202</v>
      </c>
      <c r="J112" s="3" t="s">
        <v>18</v>
      </c>
      <c r="K112" s="3">
        <v>1453.99</v>
      </c>
      <c r="L112" s="3">
        <v>9</v>
      </c>
      <c r="M112" s="3">
        <v>237.69</v>
      </c>
      <c r="N112" s="3">
        <v>0.19</v>
      </c>
    </row>
    <row r="113" spans="3:14" ht="15" hidden="1" customHeight="1">
      <c r="C113" s="3" t="s">
        <v>551</v>
      </c>
      <c r="D113" s="25">
        <v>45978</v>
      </c>
      <c r="E113" s="3" t="s">
        <v>41</v>
      </c>
      <c r="F113" s="3" t="s">
        <v>14</v>
      </c>
      <c r="G113" s="3" t="s">
        <v>15</v>
      </c>
      <c r="H113" s="3" t="s">
        <v>552</v>
      </c>
      <c r="I113" s="3" t="s">
        <v>553</v>
      </c>
      <c r="J113" s="3" t="s">
        <v>18</v>
      </c>
      <c r="K113" s="3">
        <v>1451.63</v>
      </c>
      <c r="L113" s="3">
        <v>9</v>
      </c>
      <c r="M113" s="3">
        <v>546.85</v>
      </c>
      <c r="N113" s="3">
        <v>0.1</v>
      </c>
    </row>
    <row r="114" spans="3:14" ht="15" hidden="1" customHeight="1">
      <c r="C114" s="3" t="s">
        <v>365</v>
      </c>
      <c r="D114" s="25">
        <v>45798</v>
      </c>
      <c r="E114" s="3" t="s">
        <v>41</v>
      </c>
      <c r="F114" s="3" t="s">
        <v>21</v>
      </c>
      <c r="G114" s="3" t="s">
        <v>15</v>
      </c>
      <c r="H114" s="3" t="s">
        <v>366</v>
      </c>
      <c r="I114" s="3" t="s">
        <v>367</v>
      </c>
      <c r="J114" s="3" t="s">
        <v>18</v>
      </c>
      <c r="K114" s="3">
        <v>1445.75</v>
      </c>
      <c r="L114" s="3">
        <v>1</v>
      </c>
      <c r="M114" s="3">
        <v>441.23</v>
      </c>
      <c r="N114" s="3">
        <v>0.19</v>
      </c>
    </row>
    <row r="115" spans="3:14" ht="15" hidden="1" customHeight="1">
      <c r="C115" s="3" t="s">
        <v>587</v>
      </c>
      <c r="D115" s="25">
        <v>45916</v>
      </c>
      <c r="E115" s="3" t="s">
        <v>28</v>
      </c>
      <c r="F115" s="3" t="s">
        <v>21</v>
      </c>
      <c r="G115" s="3" t="s">
        <v>15</v>
      </c>
      <c r="H115" s="3" t="s">
        <v>588</v>
      </c>
      <c r="I115" s="3" t="s">
        <v>589</v>
      </c>
      <c r="J115" s="3" t="s">
        <v>39</v>
      </c>
      <c r="K115" s="3">
        <v>1444.3</v>
      </c>
      <c r="L115" s="3">
        <v>2</v>
      </c>
      <c r="M115" s="3">
        <v>543.33000000000004</v>
      </c>
      <c r="N115" s="3">
        <v>0.11</v>
      </c>
    </row>
    <row r="116" spans="3:14" ht="15" hidden="1" customHeight="1">
      <c r="C116" s="3" t="s">
        <v>1115</v>
      </c>
      <c r="D116" s="25">
        <v>45860</v>
      </c>
      <c r="E116" s="3" t="s">
        <v>13</v>
      </c>
      <c r="F116" s="3" t="s">
        <v>32</v>
      </c>
      <c r="G116" s="3" t="s">
        <v>15</v>
      </c>
      <c r="H116" s="3" t="s">
        <v>1116</v>
      </c>
      <c r="I116" s="3" t="s">
        <v>1117</v>
      </c>
      <c r="J116" s="3" t="s">
        <v>35</v>
      </c>
      <c r="K116" s="3">
        <v>1443</v>
      </c>
      <c r="L116" s="3">
        <v>9</v>
      </c>
      <c r="M116" s="3">
        <v>365.46</v>
      </c>
      <c r="N116" s="3">
        <v>0.08</v>
      </c>
    </row>
    <row r="117" spans="3:14" ht="15" hidden="1" customHeight="1">
      <c r="C117" s="3" t="s">
        <v>719</v>
      </c>
      <c r="D117" s="25">
        <v>45934</v>
      </c>
      <c r="E117" s="3" t="s">
        <v>28</v>
      </c>
      <c r="F117" s="3" t="s">
        <v>21</v>
      </c>
      <c r="G117" s="3" t="s">
        <v>15</v>
      </c>
      <c r="H117" s="3" t="s">
        <v>720</v>
      </c>
      <c r="I117" s="3" t="s">
        <v>721</v>
      </c>
      <c r="J117" s="3" t="s">
        <v>35</v>
      </c>
      <c r="K117" s="3">
        <v>1431.07</v>
      </c>
      <c r="L117" s="3">
        <v>5</v>
      </c>
      <c r="M117" s="3">
        <v>131.88</v>
      </c>
      <c r="N117" s="3">
        <v>0.21</v>
      </c>
    </row>
    <row r="118" spans="3:14" ht="15" hidden="1" customHeight="1">
      <c r="C118" s="3" t="s">
        <v>791</v>
      </c>
      <c r="D118" s="25">
        <v>45885</v>
      </c>
      <c r="E118" s="3" t="s">
        <v>28</v>
      </c>
      <c r="F118" s="3" t="s">
        <v>14</v>
      </c>
      <c r="G118" s="3" t="s">
        <v>15</v>
      </c>
      <c r="H118" s="3" t="s">
        <v>792</v>
      </c>
      <c r="I118" s="3" t="s">
        <v>793</v>
      </c>
      <c r="J118" s="3" t="s">
        <v>35</v>
      </c>
      <c r="K118" s="3">
        <v>1428.86</v>
      </c>
      <c r="L118" s="3">
        <v>1</v>
      </c>
      <c r="M118" s="3">
        <v>348.86</v>
      </c>
      <c r="N118" s="3">
        <v>0.02</v>
      </c>
    </row>
    <row r="119" spans="3:14" ht="15" hidden="1" customHeight="1">
      <c r="C119" s="3" t="s">
        <v>353</v>
      </c>
      <c r="D119" s="25">
        <v>45905</v>
      </c>
      <c r="E119" s="3" t="s">
        <v>41</v>
      </c>
      <c r="F119" s="3" t="s">
        <v>32</v>
      </c>
      <c r="G119" s="3" t="s">
        <v>15</v>
      </c>
      <c r="H119" s="3" t="s">
        <v>354</v>
      </c>
      <c r="I119" s="3" t="s">
        <v>355</v>
      </c>
      <c r="J119" s="3" t="s">
        <v>35</v>
      </c>
      <c r="K119" s="3">
        <v>1424.89</v>
      </c>
      <c r="L119" s="3">
        <v>1</v>
      </c>
      <c r="M119" s="3">
        <v>468.8</v>
      </c>
      <c r="N119" s="3">
        <v>0.25</v>
      </c>
    </row>
    <row r="120" spans="3:14" ht="15" hidden="1" customHeight="1">
      <c r="C120" s="3" t="s">
        <v>461</v>
      </c>
      <c r="D120" s="25">
        <v>45889</v>
      </c>
      <c r="E120" s="3" t="s">
        <v>28</v>
      </c>
      <c r="F120" s="3" t="s">
        <v>21</v>
      </c>
      <c r="G120" s="3" t="s">
        <v>15</v>
      </c>
      <c r="H120" s="3" t="s">
        <v>462</v>
      </c>
      <c r="I120" s="3" t="s">
        <v>463</v>
      </c>
      <c r="J120" s="3" t="s">
        <v>39</v>
      </c>
      <c r="K120" s="3">
        <v>1420.96</v>
      </c>
      <c r="L120" s="3">
        <v>4</v>
      </c>
      <c r="M120" s="3">
        <v>181.37</v>
      </c>
      <c r="N120" s="3">
        <v>0.02</v>
      </c>
    </row>
    <row r="121" spans="3:14" ht="15" hidden="1" customHeight="1">
      <c r="C121" s="3" t="s">
        <v>98</v>
      </c>
      <c r="D121" s="25">
        <v>45676</v>
      </c>
      <c r="E121" s="3" t="s">
        <v>13</v>
      </c>
      <c r="F121" s="3" t="s">
        <v>21</v>
      </c>
      <c r="G121" s="3" t="s">
        <v>15</v>
      </c>
      <c r="H121" s="3" t="s">
        <v>99</v>
      </c>
      <c r="I121" s="3" t="s">
        <v>100</v>
      </c>
      <c r="J121" s="3" t="s">
        <v>18</v>
      </c>
      <c r="K121" s="3">
        <v>1419.02</v>
      </c>
      <c r="L121" s="3">
        <v>4</v>
      </c>
      <c r="M121" s="3">
        <v>500.65</v>
      </c>
      <c r="N121" s="3">
        <v>0.04</v>
      </c>
    </row>
    <row r="122" spans="3:14" ht="15" hidden="1" customHeight="1">
      <c r="C122" s="3" t="s">
        <v>536</v>
      </c>
      <c r="D122" s="25">
        <v>45847</v>
      </c>
      <c r="E122" s="3" t="s">
        <v>28</v>
      </c>
      <c r="F122" s="3" t="s">
        <v>32</v>
      </c>
      <c r="G122" s="3" t="s">
        <v>15</v>
      </c>
      <c r="H122" s="3" t="s">
        <v>537</v>
      </c>
      <c r="I122" s="3" t="s">
        <v>538</v>
      </c>
      <c r="J122" s="3" t="s">
        <v>39</v>
      </c>
      <c r="K122" s="3">
        <v>1416.98</v>
      </c>
      <c r="L122" s="3">
        <v>8</v>
      </c>
      <c r="M122" s="3">
        <v>360.68</v>
      </c>
      <c r="N122" s="3">
        <v>7.0000000000000007E-2</v>
      </c>
    </row>
    <row r="123" spans="3:14" ht="15" hidden="1" customHeight="1">
      <c r="C123" s="3" t="s">
        <v>77</v>
      </c>
      <c r="D123" s="25">
        <v>45989</v>
      </c>
      <c r="E123" s="3" t="s">
        <v>28</v>
      </c>
      <c r="F123" s="3" t="s">
        <v>21</v>
      </c>
      <c r="G123" s="3" t="s">
        <v>15</v>
      </c>
      <c r="H123" s="3" t="s">
        <v>78</v>
      </c>
      <c r="I123" s="3" t="s">
        <v>79</v>
      </c>
      <c r="J123" s="3" t="s">
        <v>39</v>
      </c>
      <c r="K123" s="3">
        <v>1416.07</v>
      </c>
      <c r="L123" s="3">
        <v>4</v>
      </c>
      <c r="M123" s="3">
        <v>225.85</v>
      </c>
      <c r="N123" s="3">
        <v>0.17</v>
      </c>
    </row>
    <row r="124" spans="3:14" ht="15" hidden="1" customHeight="1">
      <c r="C124" s="3" t="s">
        <v>644</v>
      </c>
      <c r="D124" s="25">
        <v>45698</v>
      </c>
      <c r="E124" s="3" t="s">
        <v>28</v>
      </c>
      <c r="F124" s="3" t="s">
        <v>32</v>
      </c>
      <c r="G124" s="3" t="s">
        <v>15</v>
      </c>
      <c r="H124" s="3" t="s">
        <v>645</v>
      </c>
      <c r="I124" s="3" t="s">
        <v>646</v>
      </c>
      <c r="J124" s="3" t="s">
        <v>35</v>
      </c>
      <c r="K124" s="3">
        <v>1411.29</v>
      </c>
      <c r="L124" s="3">
        <v>4</v>
      </c>
      <c r="M124" s="3">
        <v>507.6</v>
      </c>
      <c r="N124" s="3">
        <v>7.0000000000000007E-2</v>
      </c>
    </row>
    <row r="125" spans="3:14" ht="15" customHeight="1">
      <c r="C125" s="3" t="s">
        <v>404</v>
      </c>
      <c r="D125" s="25">
        <v>45964</v>
      </c>
      <c r="E125" s="3" t="s">
        <v>41</v>
      </c>
      <c r="F125" s="3" t="s">
        <v>14</v>
      </c>
      <c r="G125" s="3" t="s">
        <v>15</v>
      </c>
      <c r="H125" s="3" t="s">
        <v>405</v>
      </c>
      <c r="I125" s="3" t="s">
        <v>406</v>
      </c>
      <c r="J125" s="3" t="s">
        <v>18</v>
      </c>
      <c r="K125" s="3">
        <v>1410.53</v>
      </c>
      <c r="L125" s="3">
        <v>2</v>
      </c>
      <c r="M125" s="3">
        <v>312.77</v>
      </c>
      <c r="N125" s="3">
        <v>0.27</v>
      </c>
    </row>
    <row r="126" spans="3:14" ht="15" hidden="1" customHeight="1">
      <c r="C126" s="3" t="s">
        <v>704</v>
      </c>
      <c r="D126" s="25">
        <v>45853</v>
      </c>
      <c r="E126" s="3" t="s">
        <v>13</v>
      </c>
      <c r="F126" s="3" t="s">
        <v>21</v>
      </c>
      <c r="G126" s="3" t="s">
        <v>15</v>
      </c>
      <c r="H126" s="3" t="s">
        <v>705</v>
      </c>
      <c r="I126" s="3" t="s">
        <v>706</v>
      </c>
      <c r="J126" s="3" t="s">
        <v>35</v>
      </c>
      <c r="K126" s="3">
        <v>1409.45</v>
      </c>
      <c r="L126" s="3">
        <v>9</v>
      </c>
      <c r="M126" s="3">
        <v>246.85</v>
      </c>
      <c r="N126" s="3">
        <v>0.09</v>
      </c>
    </row>
    <row r="127" spans="3:14" ht="15" hidden="1" customHeight="1">
      <c r="C127" s="3" t="s">
        <v>311</v>
      </c>
      <c r="D127" s="25">
        <v>45864</v>
      </c>
      <c r="E127" s="3" t="s">
        <v>20</v>
      </c>
      <c r="F127" s="3" t="s">
        <v>32</v>
      </c>
      <c r="G127" s="3" t="s">
        <v>15</v>
      </c>
      <c r="H127" s="3" t="s">
        <v>312</v>
      </c>
      <c r="I127" s="3" t="s">
        <v>313</v>
      </c>
      <c r="J127" s="3" t="s">
        <v>39</v>
      </c>
      <c r="K127" s="3">
        <v>1406.07</v>
      </c>
      <c r="L127" s="3">
        <v>4</v>
      </c>
      <c r="M127" s="3">
        <v>97.98</v>
      </c>
      <c r="N127" s="3">
        <v>0.21</v>
      </c>
    </row>
    <row r="128" spans="3:14" ht="15" hidden="1" customHeight="1">
      <c r="C128" s="3" t="s">
        <v>1079</v>
      </c>
      <c r="D128" s="25">
        <v>45814</v>
      </c>
      <c r="E128" s="3" t="s">
        <v>13</v>
      </c>
      <c r="F128" s="3" t="s">
        <v>21</v>
      </c>
      <c r="G128" s="3" t="s">
        <v>15</v>
      </c>
      <c r="H128" s="3" t="s">
        <v>1080</v>
      </c>
      <c r="I128" s="3" t="s">
        <v>1081</v>
      </c>
      <c r="J128" s="3" t="s">
        <v>35</v>
      </c>
      <c r="K128" s="3">
        <v>1397.17</v>
      </c>
      <c r="L128" s="3">
        <v>7</v>
      </c>
      <c r="M128" s="3">
        <v>548.08000000000004</v>
      </c>
      <c r="N128" s="3">
        <v>0</v>
      </c>
    </row>
    <row r="129" spans="3:14" ht="15" hidden="1" customHeight="1">
      <c r="C129" s="3" t="s">
        <v>413</v>
      </c>
      <c r="D129" s="25">
        <v>45952</v>
      </c>
      <c r="E129" s="3" t="s">
        <v>41</v>
      </c>
      <c r="F129" s="3" t="s">
        <v>21</v>
      </c>
      <c r="G129" s="3" t="s">
        <v>15</v>
      </c>
      <c r="H129" s="3" t="s">
        <v>414</v>
      </c>
      <c r="I129" s="3" t="s">
        <v>415</v>
      </c>
      <c r="J129" s="3" t="s">
        <v>39</v>
      </c>
      <c r="K129" s="3">
        <v>1396.79</v>
      </c>
      <c r="L129" s="3">
        <v>2</v>
      </c>
      <c r="M129" s="3">
        <v>486.37</v>
      </c>
      <c r="N129" s="3">
        <v>0.01</v>
      </c>
    </row>
    <row r="130" spans="3:14" ht="15" hidden="1" customHeight="1">
      <c r="C130" s="3" t="s">
        <v>1061</v>
      </c>
      <c r="D130" s="25">
        <v>46006</v>
      </c>
      <c r="E130" s="3" t="s">
        <v>41</v>
      </c>
      <c r="F130" s="3" t="s">
        <v>32</v>
      </c>
      <c r="G130" s="3" t="s">
        <v>15</v>
      </c>
      <c r="H130" s="3" t="s">
        <v>1062</v>
      </c>
      <c r="I130" s="3" t="s">
        <v>1063</v>
      </c>
      <c r="J130" s="3" t="s">
        <v>39</v>
      </c>
      <c r="K130" s="3">
        <v>1390.04</v>
      </c>
      <c r="L130" s="3">
        <v>7</v>
      </c>
      <c r="M130" s="3">
        <v>358.54</v>
      </c>
      <c r="N130" s="3">
        <v>0.12</v>
      </c>
    </row>
    <row r="131" spans="3:14" ht="15" customHeight="1">
      <c r="C131" s="3" t="s">
        <v>860</v>
      </c>
      <c r="D131" s="25">
        <v>45724</v>
      </c>
      <c r="E131" s="3" t="s">
        <v>28</v>
      </c>
      <c r="F131" s="3" t="s">
        <v>14</v>
      </c>
      <c r="G131" s="3" t="s">
        <v>15</v>
      </c>
      <c r="H131" s="3" t="s">
        <v>861</v>
      </c>
      <c r="I131" s="3" t="s">
        <v>862</v>
      </c>
      <c r="J131" s="3" t="s">
        <v>39</v>
      </c>
      <c r="K131" s="3">
        <v>1389.35</v>
      </c>
      <c r="L131" s="3">
        <v>1</v>
      </c>
      <c r="M131" s="3">
        <v>206.26</v>
      </c>
      <c r="N131" s="3">
        <v>0.23</v>
      </c>
    </row>
    <row r="132" spans="3:14" ht="15" hidden="1" customHeight="1">
      <c r="C132" s="3" t="s">
        <v>815</v>
      </c>
      <c r="D132" s="25">
        <v>45796</v>
      </c>
      <c r="E132" s="3" t="s">
        <v>20</v>
      </c>
      <c r="F132" s="3" t="s">
        <v>14</v>
      </c>
      <c r="G132" s="3" t="s">
        <v>15</v>
      </c>
      <c r="H132" s="3" t="s">
        <v>816</v>
      </c>
      <c r="I132" s="3" t="s">
        <v>817</v>
      </c>
      <c r="J132" s="3" t="s">
        <v>18</v>
      </c>
      <c r="K132" s="3">
        <v>1388</v>
      </c>
      <c r="L132" s="3">
        <v>10</v>
      </c>
      <c r="M132" s="3">
        <v>176.2</v>
      </c>
      <c r="N132" s="3">
        <v>0.14000000000000001</v>
      </c>
    </row>
    <row r="133" spans="3:14" ht="15" hidden="1" customHeight="1">
      <c r="C133" s="3" t="s">
        <v>665</v>
      </c>
      <c r="D133" s="25">
        <v>45682</v>
      </c>
      <c r="E133" s="3" t="s">
        <v>41</v>
      </c>
      <c r="F133" s="3" t="s">
        <v>14</v>
      </c>
      <c r="G133" s="3" t="s">
        <v>15</v>
      </c>
      <c r="H133" s="3" t="s">
        <v>666</v>
      </c>
      <c r="I133" s="3" t="s">
        <v>667</v>
      </c>
      <c r="J133" s="3" t="s">
        <v>39</v>
      </c>
      <c r="K133" s="3">
        <v>1376.32</v>
      </c>
      <c r="L133" s="3">
        <v>7</v>
      </c>
      <c r="M133" s="3">
        <v>468.91</v>
      </c>
      <c r="N133" s="3">
        <v>0.19</v>
      </c>
    </row>
    <row r="134" spans="3:14" ht="15" hidden="1" customHeight="1">
      <c r="C134" s="3" t="s">
        <v>617</v>
      </c>
      <c r="D134" s="25">
        <v>45866</v>
      </c>
      <c r="E134" s="3" t="s">
        <v>28</v>
      </c>
      <c r="F134" s="3" t="s">
        <v>21</v>
      </c>
      <c r="G134" s="3" t="s">
        <v>15</v>
      </c>
      <c r="H134" s="3" t="s">
        <v>618</v>
      </c>
      <c r="I134" s="3" t="s">
        <v>619</v>
      </c>
      <c r="J134" s="3" t="s">
        <v>35</v>
      </c>
      <c r="K134" s="3">
        <v>1373.66</v>
      </c>
      <c r="L134" s="3">
        <v>3</v>
      </c>
      <c r="M134" s="3">
        <v>520.6</v>
      </c>
      <c r="N134" s="3">
        <v>0.3</v>
      </c>
    </row>
    <row r="135" spans="3:14" ht="15" hidden="1" customHeight="1">
      <c r="C135" s="3" t="s">
        <v>878</v>
      </c>
      <c r="D135" s="25">
        <v>45784</v>
      </c>
      <c r="E135" s="3" t="s">
        <v>28</v>
      </c>
      <c r="F135" s="3" t="s">
        <v>14</v>
      </c>
      <c r="G135" s="3" t="s">
        <v>15</v>
      </c>
      <c r="H135" s="3" t="s">
        <v>879</v>
      </c>
      <c r="I135" s="3" t="s">
        <v>880</v>
      </c>
      <c r="J135" s="3" t="s">
        <v>35</v>
      </c>
      <c r="K135" s="3">
        <v>1372.15</v>
      </c>
      <c r="L135" s="3">
        <v>2</v>
      </c>
      <c r="M135" s="3">
        <v>284.16000000000003</v>
      </c>
      <c r="N135" s="3">
        <v>0.14000000000000001</v>
      </c>
    </row>
    <row r="136" spans="3:14" ht="15" hidden="1" customHeight="1">
      <c r="C136" s="3" t="s">
        <v>290</v>
      </c>
      <c r="D136" s="25">
        <v>45743</v>
      </c>
      <c r="E136" s="3" t="s">
        <v>20</v>
      </c>
      <c r="F136" s="3" t="s">
        <v>14</v>
      </c>
      <c r="G136" s="3" t="s">
        <v>15</v>
      </c>
      <c r="H136" s="3" t="s">
        <v>291</v>
      </c>
      <c r="I136" s="3" t="s">
        <v>292</v>
      </c>
      <c r="J136" s="3" t="s">
        <v>39</v>
      </c>
      <c r="K136" s="3">
        <v>1370.2</v>
      </c>
      <c r="L136" s="3">
        <v>9</v>
      </c>
      <c r="M136" s="3">
        <v>546.02</v>
      </c>
      <c r="N136" s="3">
        <v>0.11</v>
      </c>
    </row>
    <row r="137" spans="3:14" ht="15" hidden="1" customHeight="1">
      <c r="C137" s="3" t="s">
        <v>458</v>
      </c>
      <c r="D137" s="25">
        <v>45737</v>
      </c>
      <c r="E137" s="3" t="s">
        <v>20</v>
      </c>
      <c r="F137" s="3" t="s">
        <v>32</v>
      </c>
      <c r="G137" s="3" t="s">
        <v>15</v>
      </c>
      <c r="H137" s="3" t="s">
        <v>459</v>
      </c>
      <c r="I137" s="3" t="s">
        <v>460</v>
      </c>
      <c r="J137" s="3" t="s">
        <v>39</v>
      </c>
      <c r="K137" s="3">
        <v>1370</v>
      </c>
      <c r="L137" s="3">
        <v>7</v>
      </c>
      <c r="M137" s="3">
        <v>498.57</v>
      </c>
      <c r="N137" s="3">
        <v>0.05</v>
      </c>
    </row>
    <row r="138" spans="3:14" ht="15" hidden="1" customHeight="1">
      <c r="C138" s="3" t="s">
        <v>935</v>
      </c>
      <c r="D138" s="25">
        <v>45801</v>
      </c>
      <c r="E138" s="3" t="s">
        <v>20</v>
      </c>
      <c r="F138" s="3" t="s">
        <v>21</v>
      </c>
      <c r="G138" s="3" t="s">
        <v>15</v>
      </c>
      <c r="H138" s="3" t="s">
        <v>936</v>
      </c>
      <c r="I138" s="3" t="s">
        <v>937</v>
      </c>
      <c r="J138" s="3" t="s">
        <v>35</v>
      </c>
      <c r="K138" s="3">
        <v>1364.11</v>
      </c>
      <c r="L138" s="3">
        <v>9</v>
      </c>
      <c r="M138" s="3">
        <v>526.84</v>
      </c>
      <c r="N138" s="3">
        <v>0.18</v>
      </c>
    </row>
    <row r="139" spans="3:14" ht="15" hidden="1" customHeight="1">
      <c r="C139" s="3" t="s">
        <v>575</v>
      </c>
      <c r="D139" s="25">
        <v>45844</v>
      </c>
      <c r="E139" s="3" t="s">
        <v>20</v>
      </c>
      <c r="F139" s="3" t="s">
        <v>21</v>
      </c>
      <c r="G139" s="3" t="s">
        <v>15</v>
      </c>
      <c r="H139" s="3" t="s">
        <v>576</v>
      </c>
      <c r="I139" s="3" t="s">
        <v>577</v>
      </c>
      <c r="J139" s="3" t="s">
        <v>39</v>
      </c>
      <c r="K139" s="3">
        <v>1364.05</v>
      </c>
      <c r="L139" s="3">
        <v>8</v>
      </c>
      <c r="M139" s="3">
        <v>509.56</v>
      </c>
      <c r="N139" s="3">
        <v>0.18</v>
      </c>
    </row>
    <row r="140" spans="3:14" ht="15" hidden="1" customHeight="1">
      <c r="C140" s="3" t="s">
        <v>1169</v>
      </c>
      <c r="D140" s="25">
        <v>45941</v>
      </c>
      <c r="E140" s="3" t="s">
        <v>41</v>
      </c>
      <c r="F140" s="3" t="s">
        <v>14</v>
      </c>
      <c r="G140" s="3" t="s">
        <v>15</v>
      </c>
      <c r="H140" s="3" t="s">
        <v>1170</v>
      </c>
      <c r="I140" s="3" t="s">
        <v>1171</v>
      </c>
      <c r="J140" s="3" t="s">
        <v>18</v>
      </c>
      <c r="K140" s="3">
        <v>1362.44</v>
      </c>
      <c r="L140" s="3">
        <v>9</v>
      </c>
      <c r="M140" s="3">
        <v>420.73</v>
      </c>
      <c r="N140" s="3">
        <v>0.05</v>
      </c>
    </row>
    <row r="141" spans="3:14" ht="15" hidden="1" customHeight="1">
      <c r="C141" s="3" t="s">
        <v>500</v>
      </c>
      <c r="D141" s="25">
        <v>45742</v>
      </c>
      <c r="E141" s="3" t="s">
        <v>13</v>
      </c>
      <c r="F141" s="3" t="s">
        <v>21</v>
      </c>
      <c r="G141" s="3" t="s">
        <v>15</v>
      </c>
      <c r="H141" s="3" t="s">
        <v>501</v>
      </c>
      <c r="I141" s="3" t="s">
        <v>502</v>
      </c>
      <c r="J141" s="3" t="s">
        <v>35</v>
      </c>
      <c r="K141" s="3">
        <v>1361.45</v>
      </c>
      <c r="L141" s="3">
        <v>8</v>
      </c>
      <c r="M141" s="3">
        <v>107.07</v>
      </c>
      <c r="N141" s="3">
        <v>0.1</v>
      </c>
    </row>
    <row r="142" spans="3:14" ht="15" hidden="1" customHeight="1">
      <c r="C142" s="3" t="s">
        <v>1145</v>
      </c>
      <c r="D142" s="25">
        <v>46000</v>
      </c>
      <c r="E142" s="3" t="s">
        <v>20</v>
      </c>
      <c r="F142" s="3" t="s">
        <v>32</v>
      </c>
      <c r="G142" s="3" t="s">
        <v>15</v>
      </c>
      <c r="H142" s="3" t="s">
        <v>1146</v>
      </c>
      <c r="I142" s="3" t="s">
        <v>1147</v>
      </c>
      <c r="J142" s="3" t="s">
        <v>35</v>
      </c>
      <c r="K142" s="3">
        <v>1353.98</v>
      </c>
      <c r="L142" s="3">
        <v>3</v>
      </c>
      <c r="M142" s="3">
        <v>492.62</v>
      </c>
      <c r="N142" s="3">
        <v>0.19</v>
      </c>
    </row>
    <row r="143" spans="3:14" ht="15" hidden="1" customHeight="1">
      <c r="C143" s="3" t="s">
        <v>377</v>
      </c>
      <c r="D143" s="25">
        <v>45768</v>
      </c>
      <c r="E143" s="3" t="s">
        <v>41</v>
      </c>
      <c r="F143" s="3" t="s">
        <v>14</v>
      </c>
      <c r="G143" s="3" t="s">
        <v>15</v>
      </c>
      <c r="H143" s="3" t="s">
        <v>378</v>
      </c>
      <c r="I143" s="3" t="s">
        <v>379</v>
      </c>
      <c r="J143" s="3" t="s">
        <v>35</v>
      </c>
      <c r="K143" s="3">
        <v>1336.37</v>
      </c>
      <c r="L143" s="3">
        <v>1</v>
      </c>
      <c r="M143" s="3">
        <v>506.43</v>
      </c>
      <c r="N143" s="3">
        <v>0.01</v>
      </c>
    </row>
    <row r="144" spans="3:14" ht="15" hidden="1" customHeight="1">
      <c r="C144" s="3" t="s">
        <v>959</v>
      </c>
      <c r="D144" s="25">
        <v>45800</v>
      </c>
      <c r="E144" s="3" t="s">
        <v>13</v>
      </c>
      <c r="F144" s="3" t="s">
        <v>32</v>
      </c>
      <c r="G144" s="3" t="s">
        <v>15</v>
      </c>
      <c r="H144" s="3" t="s">
        <v>960</v>
      </c>
      <c r="I144" s="3" t="s">
        <v>961</v>
      </c>
      <c r="J144" s="3" t="s">
        <v>39</v>
      </c>
      <c r="K144" s="3">
        <v>1335.75</v>
      </c>
      <c r="L144" s="3">
        <v>4</v>
      </c>
      <c r="M144" s="3">
        <v>467.26</v>
      </c>
      <c r="N144" s="3">
        <v>0.3</v>
      </c>
    </row>
    <row r="145" spans="3:14" ht="15" hidden="1" customHeight="1">
      <c r="C145" s="3" t="s">
        <v>230</v>
      </c>
      <c r="D145" s="25">
        <v>45834</v>
      </c>
      <c r="E145" s="3" t="s">
        <v>20</v>
      </c>
      <c r="F145" s="3" t="s">
        <v>14</v>
      </c>
      <c r="G145" s="3" t="s">
        <v>15</v>
      </c>
      <c r="H145" s="3" t="s">
        <v>231</v>
      </c>
      <c r="I145" s="3" t="s">
        <v>232</v>
      </c>
      <c r="J145" s="3" t="s">
        <v>18</v>
      </c>
      <c r="K145" s="3">
        <v>1335.36</v>
      </c>
      <c r="L145" s="3">
        <v>9</v>
      </c>
      <c r="M145" s="3">
        <v>165.23</v>
      </c>
      <c r="N145" s="3">
        <v>0.08</v>
      </c>
    </row>
    <row r="146" spans="3:14" ht="15" hidden="1" customHeight="1">
      <c r="C146" s="3" t="s">
        <v>143</v>
      </c>
      <c r="D146" s="25">
        <v>45876</v>
      </c>
      <c r="E146" s="3" t="s">
        <v>13</v>
      </c>
      <c r="F146" s="3" t="s">
        <v>14</v>
      </c>
      <c r="G146" s="3" t="s">
        <v>15</v>
      </c>
      <c r="H146" s="3" t="s">
        <v>144</v>
      </c>
      <c r="I146" s="3" t="s">
        <v>145</v>
      </c>
      <c r="J146" s="3" t="s">
        <v>35</v>
      </c>
      <c r="K146" s="3">
        <v>1329.2</v>
      </c>
      <c r="L146" s="3">
        <v>8</v>
      </c>
      <c r="M146" s="3">
        <v>308.12</v>
      </c>
      <c r="N146" s="3">
        <v>0.17</v>
      </c>
    </row>
    <row r="147" spans="3:14" ht="15" hidden="1" customHeight="1">
      <c r="C147" s="3" t="s">
        <v>1016</v>
      </c>
      <c r="D147" s="25">
        <v>45789</v>
      </c>
      <c r="E147" s="3" t="s">
        <v>13</v>
      </c>
      <c r="F147" s="3" t="s">
        <v>14</v>
      </c>
      <c r="G147" s="3" t="s">
        <v>15</v>
      </c>
      <c r="H147" s="3" t="s">
        <v>1017</v>
      </c>
      <c r="I147" s="3" t="s">
        <v>1018</v>
      </c>
      <c r="J147" s="3" t="s">
        <v>39</v>
      </c>
      <c r="K147" s="3">
        <v>1324.96</v>
      </c>
      <c r="L147" s="3">
        <v>6</v>
      </c>
      <c r="M147" s="3">
        <v>381.77</v>
      </c>
      <c r="N147" s="3">
        <v>0.11</v>
      </c>
    </row>
    <row r="148" spans="3:14" ht="15" hidden="1" customHeight="1">
      <c r="C148" s="3" t="s">
        <v>1001</v>
      </c>
      <c r="D148" s="25">
        <v>45690</v>
      </c>
      <c r="E148" s="3" t="s">
        <v>13</v>
      </c>
      <c r="F148" s="3" t="s">
        <v>21</v>
      </c>
      <c r="G148" s="3" t="s">
        <v>15</v>
      </c>
      <c r="H148" s="3" t="s">
        <v>1002</v>
      </c>
      <c r="I148" s="3" t="s">
        <v>1003</v>
      </c>
      <c r="J148" s="3" t="s">
        <v>18</v>
      </c>
      <c r="K148" s="3">
        <v>1324.12</v>
      </c>
      <c r="L148" s="3">
        <v>5</v>
      </c>
      <c r="M148" s="3">
        <v>74.8</v>
      </c>
      <c r="N148" s="3">
        <v>0.28000000000000003</v>
      </c>
    </row>
    <row r="149" spans="3:14" ht="15" hidden="1" customHeight="1">
      <c r="C149" s="3" t="s">
        <v>986</v>
      </c>
      <c r="D149" s="25">
        <v>45952</v>
      </c>
      <c r="E149" s="3" t="s">
        <v>20</v>
      </c>
      <c r="F149" s="3" t="s">
        <v>14</v>
      </c>
      <c r="G149" s="3" t="s">
        <v>15</v>
      </c>
      <c r="H149" s="3" t="s">
        <v>987</v>
      </c>
      <c r="I149" s="3" t="s">
        <v>988</v>
      </c>
      <c r="J149" s="3" t="s">
        <v>18</v>
      </c>
      <c r="K149" s="3">
        <v>1315.08</v>
      </c>
      <c r="L149" s="3">
        <v>6</v>
      </c>
      <c r="M149" s="3">
        <v>312.60000000000002</v>
      </c>
      <c r="N149" s="3">
        <v>0.03</v>
      </c>
    </row>
    <row r="150" spans="3:14" ht="15" hidden="1" customHeight="1">
      <c r="C150" s="3" t="s">
        <v>1175</v>
      </c>
      <c r="D150" s="25">
        <v>45768</v>
      </c>
      <c r="E150" s="3" t="s">
        <v>13</v>
      </c>
      <c r="F150" s="3" t="s">
        <v>21</v>
      </c>
      <c r="G150" s="3" t="s">
        <v>15</v>
      </c>
      <c r="H150" s="3" t="s">
        <v>1176</v>
      </c>
      <c r="I150" s="3" t="s">
        <v>1177</v>
      </c>
      <c r="J150" s="3" t="s">
        <v>18</v>
      </c>
      <c r="K150" s="3">
        <v>1303.0999999999999</v>
      </c>
      <c r="L150" s="3">
        <v>4</v>
      </c>
      <c r="M150" s="3">
        <v>165.57</v>
      </c>
      <c r="N150" s="3">
        <v>0.26</v>
      </c>
    </row>
    <row r="151" spans="3:14" ht="15" hidden="1" customHeight="1">
      <c r="C151" s="3" t="s">
        <v>104</v>
      </c>
      <c r="D151" s="25">
        <v>45949</v>
      </c>
      <c r="E151" s="3" t="s">
        <v>20</v>
      </c>
      <c r="F151" s="3" t="s">
        <v>14</v>
      </c>
      <c r="G151" s="3" t="s">
        <v>15</v>
      </c>
      <c r="H151" s="3" t="s">
        <v>105</v>
      </c>
      <c r="I151" s="3" t="s">
        <v>106</v>
      </c>
      <c r="J151" s="3" t="s">
        <v>35</v>
      </c>
      <c r="K151" s="3">
        <v>1300.57</v>
      </c>
      <c r="L151" s="3">
        <v>3</v>
      </c>
      <c r="M151" s="3">
        <v>416.02</v>
      </c>
      <c r="N151" s="3">
        <v>0.11</v>
      </c>
    </row>
    <row r="152" spans="3:14" ht="15" hidden="1" customHeight="1">
      <c r="C152" s="3" t="s">
        <v>317</v>
      </c>
      <c r="D152" s="25">
        <v>45769</v>
      </c>
      <c r="E152" s="3" t="s">
        <v>28</v>
      </c>
      <c r="F152" s="3" t="s">
        <v>21</v>
      </c>
      <c r="G152" s="3" t="s">
        <v>15</v>
      </c>
      <c r="H152" s="3" t="s">
        <v>318</v>
      </c>
      <c r="I152" s="3" t="s">
        <v>319</v>
      </c>
      <c r="J152" s="3" t="s">
        <v>35</v>
      </c>
      <c r="K152" s="3">
        <v>1298.04</v>
      </c>
      <c r="L152" s="3">
        <v>7</v>
      </c>
      <c r="M152" s="3">
        <v>368.23</v>
      </c>
      <c r="N152" s="3">
        <v>0.08</v>
      </c>
    </row>
    <row r="153" spans="3:14" ht="15" hidden="1" customHeight="1">
      <c r="C153" s="3" t="s">
        <v>437</v>
      </c>
      <c r="D153" s="25">
        <v>46000</v>
      </c>
      <c r="E153" s="3" t="s">
        <v>20</v>
      </c>
      <c r="F153" s="3" t="s">
        <v>21</v>
      </c>
      <c r="G153" s="3" t="s">
        <v>15</v>
      </c>
      <c r="H153" s="3" t="s">
        <v>438</v>
      </c>
      <c r="I153" s="3" t="s">
        <v>439</v>
      </c>
      <c r="J153" s="3" t="s">
        <v>18</v>
      </c>
      <c r="K153" s="3">
        <v>1296.6500000000001</v>
      </c>
      <c r="L153" s="3">
        <v>5</v>
      </c>
      <c r="M153" s="3">
        <v>366.11</v>
      </c>
      <c r="N153" s="3">
        <v>0.18</v>
      </c>
    </row>
    <row r="154" spans="3:14" ht="15" hidden="1" customHeight="1">
      <c r="C154" s="3" t="s">
        <v>863</v>
      </c>
      <c r="D154" s="25">
        <v>45749</v>
      </c>
      <c r="E154" s="3" t="s">
        <v>28</v>
      </c>
      <c r="F154" s="3" t="s">
        <v>14</v>
      </c>
      <c r="G154" s="3" t="s">
        <v>15</v>
      </c>
      <c r="H154" s="3" t="s">
        <v>864</v>
      </c>
      <c r="I154" s="3" t="s">
        <v>865</v>
      </c>
      <c r="J154" s="3" t="s">
        <v>18</v>
      </c>
      <c r="K154" s="3">
        <v>1295.51</v>
      </c>
      <c r="L154" s="3">
        <v>8</v>
      </c>
      <c r="M154" s="3">
        <v>102.56</v>
      </c>
      <c r="N154" s="3">
        <v>0.06</v>
      </c>
    </row>
    <row r="155" spans="3:14" ht="15" hidden="1" customHeight="1">
      <c r="C155" s="3" t="s">
        <v>236</v>
      </c>
      <c r="D155" s="25">
        <v>45673</v>
      </c>
      <c r="E155" s="3" t="s">
        <v>13</v>
      </c>
      <c r="F155" s="3" t="s">
        <v>14</v>
      </c>
      <c r="G155" s="3" t="s">
        <v>15</v>
      </c>
      <c r="H155" s="3" t="s">
        <v>237</v>
      </c>
      <c r="I155" s="3" t="s">
        <v>238</v>
      </c>
      <c r="J155" s="3" t="s">
        <v>35</v>
      </c>
      <c r="K155" s="3">
        <v>1292.6500000000001</v>
      </c>
      <c r="L155" s="3">
        <v>9</v>
      </c>
      <c r="M155" s="3">
        <v>339.52</v>
      </c>
      <c r="N155" s="3">
        <v>0.16</v>
      </c>
    </row>
    <row r="156" spans="3:14" ht="15" hidden="1" customHeight="1">
      <c r="C156" s="3" t="s">
        <v>758</v>
      </c>
      <c r="D156" s="25">
        <v>45756</v>
      </c>
      <c r="E156" s="3" t="s">
        <v>20</v>
      </c>
      <c r="F156" s="3" t="s">
        <v>21</v>
      </c>
      <c r="G156" s="3" t="s">
        <v>15</v>
      </c>
      <c r="H156" s="3" t="s">
        <v>759</v>
      </c>
      <c r="I156" s="3" t="s">
        <v>760</v>
      </c>
      <c r="J156" s="3" t="s">
        <v>18</v>
      </c>
      <c r="K156" s="3">
        <v>1286.58</v>
      </c>
      <c r="L156" s="3">
        <v>3</v>
      </c>
      <c r="M156" s="3">
        <v>144.61000000000001</v>
      </c>
      <c r="N156" s="3">
        <v>0.03</v>
      </c>
    </row>
    <row r="157" spans="3:14" ht="15" hidden="1" customHeight="1">
      <c r="C157" s="3" t="s">
        <v>1031</v>
      </c>
      <c r="D157" s="25">
        <v>45880</v>
      </c>
      <c r="E157" s="3" t="s">
        <v>28</v>
      </c>
      <c r="F157" s="3" t="s">
        <v>14</v>
      </c>
      <c r="G157" s="3" t="s">
        <v>15</v>
      </c>
      <c r="H157" s="3" t="s">
        <v>1032</v>
      </c>
      <c r="I157" s="3" t="s">
        <v>1033</v>
      </c>
      <c r="J157" s="3" t="s">
        <v>39</v>
      </c>
      <c r="K157" s="3">
        <v>1278.69</v>
      </c>
      <c r="L157" s="3">
        <v>1</v>
      </c>
      <c r="M157" s="3">
        <v>267.95999999999998</v>
      </c>
      <c r="N157" s="3">
        <v>0.09</v>
      </c>
    </row>
    <row r="158" spans="3:14" ht="15" hidden="1" customHeight="1">
      <c r="C158" s="3" t="s">
        <v>1094</v>
      </c>
      <c r="D158" s="25">
        <v>45828</v>
      </c>
      <c r="E158" s="3" t="s">
        <v>28</v>
      </c>
      <c r="F158" s="3" t="s">
        <v>21</v>
      </c>
      <c r="G158" s="3" t="s">
        <v>15</v>
      </c>
      <c r="H158" s="3" t="s">
        <v>1095</v>
      </c>
      <c r="I158" s="3" t="s">
        <v>1096</v>
      </c>
      <c r="J158" s="3" t="s">
        <v>35</v>
      </c>
      <c r="K158" s="3">
        <v>1265.28</v>
      </c>
      <c r="L158" s="3">
        <v>9</v>
      </c>
      <c r="M158" s="3">
        <v>235.04</v>
      </c>
      <c r="N158" s="3">
        <v>0.26</v>
      </c>
    </row>
    <row r="159" spans="3:14" ht="15" hidden="1" customHeight="1">
      <c r="C159" s="3" t="s">
        <v>40</v>
      </c>
      <c r="D159" s="25">
        <v>45692</v>
      </c>
      <c r="E159" s="3" t="s">
        <v>41</v>
      </c>
      <c r="F159" s="3" t="s">
        <v>32</v>
      </c>
      <c r="G159" s="3" t="s">
        <v>15</v>
      </c>
      <c r="H159" s="3" t="s">
        <v>42</v>
      </c>
      <c r="I159" s="3" t="s">
        <v>43</v>
      </c>
      <c r="J159" s="3" t="s">
        <v>18</v>
      </c>
      <c r="K159" s="3">
        <v>1260.49</v>
      </c>
      <c r="L159" s="3">
        <v>2</v>
      </c>
      <c r="M159" s="3">
        <v>365.39</v>
      </c>
      <c r="N159" s="3">
        <v>7.0000000000000007E-2</v>
      </c>
    </row>
    <row r="160" spans="3:14" ht="15" hidden="1" customHeight="1">
      <c r="C160" s="3" t="s">
        <v>890</v>
      </c>
      <c r="D160" s="25">
        <v>45993</v>
      </c>
      <c r="E160" s="3" t="s">
        <v>13</v>
      </c>
      <c r="F160" s="3" t="s">
        <v>21</v>
      </c>
      <c r="G160" s="3" t="s">
        <v>15</v>
      </c>
      <c r="H160" s="3" t="s">
        <v>891</v>
      </c>
      <c r="I160" s="3" t="s">
        <v>892</v>
      </c>
      <c r="J160" s="3" t="s">
        <v>35</v>
      </c>
      <c r="K160" s="3">
        <v>1257.17</v>
      </c>
      <c r="L160" s="3">
        <v>4</v>
      </c>
      <c r="M160" s="3">
        <v>146.94999999999999</v>
      </c>
      <c r="N160" s="3">
        <v>0.2</v>
      </c>
    </row>
    <row r="161" spans="3:14" ht="15" hidden="1" customHeight="1">
      <c r="C161" s="3" t="s">
        <v>116</v>
      </c>
      <c r="D161" s="25">
        <v>45792</v>
      </c>
      <c r="E161" s="3" t="s">
        <v>13</v>
      </c>
      <c r="F161" s="3" t="s">
        <v>32</v>
      </c>
      <c r="G161" s="3" t="s">
        <v>15</v>
      </c>
      <c r="H161" s="3" t="s">
        <v>117</v>
      </c>
      <c r="I161" s="3" t="s">
        <v>118</v>
      </c>
      <c r="J161" s="3" t="s">
        <v>35</v>
      </c>
      <c r="K161" s="3">
        <v>1241.1300000000001</v>
      </c>
      <c r="L161" s="3">
        <v>2</v>
      </c>
      <c r="M161" s="3">
        <v>151.79</v>
      </c>
      <c r="N161" s="3">
        <v>0.28000000000000003</v>
      </c>
    </row>
    <row r="162" spans="3:14" ht="15" hidden="1" customHeight="1">
      <c r="C162" s="3" t="s">
        <v>491</v>
      </c>
      <c r="D162" s="25">
        <v>45669</v>
      </c>
      <c r="E162" s="3" t="s">
        <v>41</v>
      </c>
      <c r="F162" s="3" t="s">
        <v>21</v>
      </c>
      <c r="G162" s="3" t="s">
        <v>15</v>
      </c>
      <c r="H162" s="3" t="s">
        <v>492</v>
      </c>
      <c r="I162" s="3" t="s">
        <v>493</v>
      </c>
      <c r="J162" s="3" t="s">
        <v>18</v>
      </c>
      <c r="K162" s="3">
        <v>1239.6500000000001</v>
      </c>
      <c r="L162" s="3">
        <v>4</v>
      </c>
      <c r="M162" s="3">
        <v>133.94</v>
      </c>
      <c r="N162" s="3">
        <v>0.09</v>
      </c>
    </row>
    <row r="163" spans="3:14" ht="15" hidden="1" customHeight="1">
      <c r="C163" s="3" t="s">
        <v>1211</v>
      </c>
      <c r="D163" s="25">
        <v>46001</v>
      </c>
      <c r="E163" s="3" t="s">
        <v>41</v>
      </c>
      <c r="F163" s="3" t="s">
        <v>21</v>
      </c>
      <c r="G163" s="3" t="s">
        <v>15</v>
      </c>
      <c r="H163" s="3" t="s">
        <v>1212</v>
      </c>
      <c r="I163" s="3" t="s">
        <v>1213</v>
      </c>
      <c r="J163" s="3" t="s">
        <v>39</v>
      </c>
      <c r="K163" s="3">
        <v>1237.47</v>
      </c>
      <c r="L163" s="3">
        <v>7</v>
      </c>
      <c r="M163" s="3">
        <v>67.819999999999993</v>
      </c>
      <c r="N163" s="3">
        <v>0.13</v>
      </c>
    </row>
    <row r="164" spans="3:14" ht="15" hidden="1" customHeight="1">
      <c r="C164" s="3" t="s">
        <v>917</v>
      </c>
      <c r="D164" s="25">
        <v>45682</v>
      </c>
      <c r="E164" s="3" t="s">
        <v>13</v>
      </c>
      <c r="F164" s="3" t="s">
        <v>32</v>
      </c>
      <c r="G164" s="3" t="s">
        <v>15</v>
      </c>
      <c r="H164" s="3" t="s">
        <v>918</v>
      </c>
      <c r="I164" s="3" t="s">
        <v>919</v>
      </c>
      <c r="J164" s="3" t="s">
        <v>35</v>
      </c>
      <c r="K164" s="3">
        <v>1224.26</v>
      </c>
      <c r="L164" s="3">
        <v>4</v>
      </c>
      <c r="M164" s="3">
        <v>237.68</v>
      </c>
      <c r="N164" s="3">
        <v>0.17</v>
      </c>
    </row>
    <row r="165" spans="3:14" ht="15" hidden="1" customHeight="1">
      <c r="C165" s="3" t="s">
        <v>422</v>
      </c>
      <c r="D165" s="25">
        <v>45796</v>
      </c>
      <c r="E165" s="3" t="s">
        <v>13</v>
      </c>
      <c r="F165" s="3" t="s">
        <v>21</v>
      </c>
      <c r="G165" s="3" t="s">
        <v>15</v>
      </c>
      <c r="H165" s="3" t="s">
        <v>423</v>
      </c>
      <c r="I165" s="3" t="s">
        <v>424</v>
      </c>
      <c r="J165" s="3" t="s">
        <v>39</v>
      </c>
      <c r="K165" s="3">
        <v>1214.97</v>
      </c>
      <c r="L165" s="3">
        <v>7</v>
      </c>
      <c r="M165" s="3">
        <v>89.26</v>
      </c>
      <c r="N165" s="3">
        <v>0.17</v>
      </c>
    </row>
    <row r="166" spans="3:14" ht="15" hidden="1" customHeight="1">
      <c r="C166" s="3" t="s">
        <v>926</v>
      </c>
      <c r="D166" s="25">
        <v>45949</v>
      </c>
      <c r="E166" s="3" t="s">
        <v>28</v>
      </c>
      <c r="F166" s="3" t="s">
        <v>32</v>
      </c>
      <c r="G166" s="3" t="s">
        <v>15</v>
      </c>
      <c r="H166" s="3" t="s">
        <v>927</v>
      </c>
      <c r="I166" s="3" t="s">
        <v>928</v>
      </c>
      <c r="J166" s="3" t="s">
        <v>35</v>
      </c>
      <c r="K166" s="3">
        <v>1212.71</v>
      </c>
      <c r="L166" s="3">
        <v>4</v>
      </c>
      <c r="M166" s="3">
        <v>460.52</v>
      </c>
      <c r="N166" s="3">
        <v>0.22</v>
      </c>
    </row>
    <row r="167" spans="3:14" ht="15" hidden="1" customHeight="1">
      <c r="C167" s="3" t="s">
        <v>707</v>
      </c>
      <c r="D167" s="25">
        <v>45894</v>
      </c>
      <c r="E167" s="3" t="s">
        <v>41</v>
      </c>
      <c r="F167" s="3" t="s">
        <v>32</v>
      </c>
      <c r="G167" s="3" t="s">
        <v>15</v>
      </c>
      <c r="H167" s="3" t="s">
        <v>708</v>
      </c>
      <c r="I167" s="3" t="s">
        <v>709</v>
      </c>
      <c r="J167" s="3" t="s">
        <v>18</v>
      </c>
      <c r="K167" s="3">
        <v>1207.28</v>
      </c>
      <c r="L167" s="3">
        <v>1</v>
      </c>
      <c r="M167" s="3">
        <v>275.97000000000003</v>
      </c>
      <c r="N167" s="3">
        <v>0.01</v>
      </c>
    </row>
    <row r="168" spans="3:14" ht="15" hidden="1" customHeight="1">
      <c r="C168" s="3" t="s">
        <v>56</v>
      </c>
      <c r="D168" s="25">
        <v>45928</v>
      </c>
      <c r="E168" s="3" t="s">
        <v>20</v>
      </c>
      <c r="F168" s="3" t="s">
        <v>32</v>
      </c>
      <c r="G168" s="3" t="s">
        <v>15</v>
      </c>
      <c r="H168" s="3" t="s">
        <v>57</v>
      </c>
      <c r="I168" s="3" t="s">
        <v>58</v>
      </c>
      <c r="J168" s="3" t="s">
        <v>35</v>
      </c>
      <c r="K168" s="3">
        <v>1205.07</v>
      </c>
      <c r="L168" s="3">
        <v>9</v>
      </c>
      <c r="M168" s="3">
        <v>367.14</v>
      </c>
      <c r="N168" s="3">
        <v>0.1</v>
      </c>
    </row>
    <row r="169" spans="3:14" ht="15" hidden="1" customHeight="1">
      <c r="C169" s="3" t="s">
        <v>68</v>
      </c>
      <c r="D169" s="25">
        <v>45884</v>
      </c>
      <c r="E169" s="3" t="s">
        <v>13</v>
      </c>
      <c r="F169" s="3" t="s">
        <v>21</v>
      </c>
      <c r="G169" s="3" t="s">
        <v>15</v>
      </c>
      <c r="H169" s="3" t="s">
        <v>69</v>
      </c>
      <c r="I169" s="3" t="s">
        <v>70</v>
      </c>
      <c r="J169" s="3" t="s">
        <v>35</v>
      </c>
      <c r="K169" s="3">
        <v>1196.5</v>
      </c>
      <c r="L169" s="3">
        <v>2</v>
      </c>
      <c r="M169" s="3">
        <v>354.35</v>
      </c>
      <c r="N169" s="3">
        <v>0.25</v>
      </c>
    </row>
    <row r="170" spans="3:14" ht="15" hidden="1" customHeight="1">
      <c r="C170" s="3" t="s">
        <v>746</v>
      </c>
      <c r="D170" s="25">
        <v>45783</v>
      </c>
      <c r="E170" s="3" t="s">
        <v>13</v>
      </c>
      <c r="F170" s="3" t="s">
        <v>21</v>
      </c>
      <c r="G170" s="3" t="s">
        <v>15</v>
      </c>
      <c r="H170" s="3" t="s">
        <v>747</v>
      </c>
      <c r="I170" s="3" t="s">
        <v>748</v>
      </c>
      <c r="J170" s="3" t="s">
        <v>18</v>
      </c>
      <c r="K170" s="3">
        <v>1191.29</v>
      </c>
      <c r="L170" s="3">
        <v>6</v>
      </c>
      <c r="M170" s="3">
        <v>352.19</v>
      </c>
      <c r="N170" s="3">
        <v>0.17</v>
      </c>
    </row>
    <row r="171" spans="3:14" ht="15" customHeight="1">
      <c r="C171" s="3" t="s">
        <v>872</v>
      </c>
      <c r="D171" s="25">
        <v>45728</v>
      </c>
      <c r="E171" s="3" t="s">
        <v>13</v>
      </c>
      <c r="F171" s="3" t="s">
        <v>14</v>
      </c>
      <c r="G171" s="3" t="s">
        <v>15</v>
      </c>
      <c r="H171" s="3" t="s">
        <v>873</v>
      </c>
      <c r="I171" s="3" t="s">
        <v>874</v>
      </c>
      <c r="J171" s="3" t="s">
        <v>39</v>
      </c>
      <c r="K171" s="3">
        <v>1186.7</v>
      </c>
      <c r="L171" s="3">
        <v>1</v>
      </c>
      <c r="M171" s="3">
        <v>287.36</v>
      </c>
      <c r="N171" s="3">
        <v>0.26</v>
      </c>
    </row>
    <row r="172" spans="3:14" ht="15" hidden="1" customHeight="1">
      <c r="C172" s="3" t="s">
        <v>932</v>
      </c>
      <c r="D172" s="25">
        <v>45792</v>
      </c>
      <c r="E172" s="3" t="s">
        <v>20</v>
      </c>
      <c r="F172" s="3" t="s">
        <v>21</v>
      </c>
      <c r="G172" s="3" t="s">
        <v>15</v>
      </c>
      <c r="H172" s="3" t="s">
        <v>933</v>
      </c>
      <c r="I172" s="3" t="s">
        <v>934</v>
      </c>
      <c r="J172" s="3" t="s">
        <v>39</v>
      </c>
      <c r="K172" s="3">
        <v>1179.6300000000001</v>
      </c>
      <c r="L172" s="3">
        <v>9</v>
      </c>
      <c r="M172" s="3">
        <v>83.97</v>
      </c>
      <c r="N172" s="3">
        <v>0.11</v>
      </c>
    </row>
    <row r="173" spans="3:14" ht="15" customHeight="1">
      <c r="C173" s="3" t="s">
        <v>44</v>
      </c>
      <c r="D173" s="25">
        <v>45708</v>
      </c>
      <c r="E173" s="3" t="s">
        <v>28</v>
      </c>
      <c r="F173" s="3" t="s">
        <v>14</v>
      </c>
      <c r="G173" s="3" t="s">
        <v>15</v>
      </c>
      <c r="H173" s="3" t="s">
        <v>45</v>
      </c>
      <c r="I173" s="3" t="s">
        <v>46</v>
      </c>
      <c r="J173" s="3" t="s">
        <v>35</v>
      </c>
      <c r="K173" s="3">
        <v>1173.22</v>
      </c>
      <c r="L173" s="3">
        <v>8</v>
      </c>
      <c r="M173" s="3">
        <v>180.51</v>
      </c>
      <c r="N173" s="3">
        <v>0.21</v>
      </c>
    </row>
    <row r="174" spans="3:14" ht="15" hidden="1" customHeight="1">
      <c r="C174" s="3" t="s">
        <v>344</v>
      </c>
      <c r="D174" s="25">
        <v>45683</v>
      </c>
      <c r="E174" s="3" t="s">
        <v>13</v>
      </c>
      <c r="F174" s="3" t="s">
        <v>21</v>
      </c>
      <c r="G174" s="3" t="s">
        <v>15</v>
      </c>
      <c r="H174" s="3" t="s">
        <v>345</v>
      </c>
      <c r="I174" s="3" t="s">
        <v>346</v>
      </c>
      <c r="J174" s="3" t="s">
        <v>39</v>
      </c>
      <c r="K174" s="3">
        <v>1170.1400000000001</v>
      </c>
      <c r="L174" s="3">
        <v>5</v>
      </c>
      <c r="M174" s="3">
        <v>369.06</v>
      </c>
      <c r="N174" s="3">
        <v>0.21</v>
      </c>
    </row>
    <row r="175" spans="3:14" ht="15" customHeight="1">
      <c r="C175" s="3" t="s">
        <v>1070</v>
      </c>
      <c r="D175" s="25">
        <v>45822</v>
      </c>
      <c r="E175" s="3" t="s">
        <v>20</v>
      </c>
      <c r="F175" s="3" t="s">
        <v>14</v>
      </c>
      <c r="G175" s="3" t="s">
        <v>15</v>
      </c>
      <c r="H175" s="3" t="s">
        <v>1071</v>
      </c>
      <c r="I175" s="3" t="s">
        <v>1072</v>
      </c>
      <c r="J175" s="3" t="s">
        <v>18</v>
      </c>
      <c r="K175" s="3">
        <v>1167.3599999999999</v>
      </c>
      <c r="L175" s="3">
        <v>4</v>
      </c>
      <c r="M175" s="3">
        <v>175.96</v>
      </c>
      <c r="N175" s="3">
        <v>0.28000000000000003</v>
      </c>
    </row>
    <row r="176" spans="3:14" ht="15" hidden="1" customHeight="1">
      <c r="C176" s="3" t="s">
        <v>953</v>
      </c>
      <c r="D176" s="25">
        <v>45721</v>
      </c>
      <c r="E176" s="3" t="s">
        <v>41</v>
      </c>
      <c r="F176" s="3" t="s">
        <v>21</v>
      </c>
      <c r="G176" s="3" t="s">
        <v>15</v>
      </c>
      <c r="H176" s="3" t="s">
        <v>954</v>
      </c>
      <c r="I176" s="3" t="s">
        <v>955</v>
      </c>
      <c r="J176" s="3" t="s">
        <v>35</v>
      </c>
      <c r="K176" s="3">
        <v>1160.68</v>
      </c>
      <c r="L176" s="3">
        <v>6</v>
      </c>
      <c r="M176" s="3">
        <v>359.24</v>
      </c>
      <c r="N176" s="3">
        <v>0.28000000000000003</v>
      </c>
    </row>
    <row r="177" spans="3:14" ht="15" hidden="1" customHeight="1">
      <c r="C177" s="3" t="s">
        <v>725</v>
      </c>
      <c r="D177" s="25">
        <v>45720</v>
      </c>
      <c r="E177" s="3" t="s">
        <v>13</v>
      </c>
      <c r="F177" s="3" t="s">
        <v>21</v>
      </c>
      <c r="G177" s="3" t="s">
        <v>15</v>
      </c>
      <c r="H177" s="3" t="s">
        <v>726</v>
      </c>
      <c r="I177" s="3" t="s">
        <v>727</v>
      </c>
      <c r="J177" s="3" t="s">
        <v>18</v>
      </c>
      <c r="K177" s="3">
        <v>1148.22</v>
      </c>
      <c r="L177" s="3">
        <v>5</v>
      </c>
      <c r="M177" s="3">
        <v>88.54</v>
      </c>
      <c r="N177" s="3">
        <v>0.18</v>
      </c>
    </row>
    <row r="178" spans="3:14" ht="15" hidden="1" customHeight="1">
      <c r="C178" s="3" t="s">
        <v>869</v>
      </c>
      <c r="D178" s="25">
        <v>45861</v>
      </c>
      <c r="E178" s="3" t="s">
        <v>28</v>
      </c>
      <c r="F178" s="3" t="s">
        <v>14</v>
      </c>
      <c r="G178" s="3" t="s">
        <v>15</v>
      </c>
      <c r="H178" s="3" t="s">
        <v>870</v>
      </c>
      <c r="I178" s="3" t="s">
        <v>871</v>
      </c>
      <c r="J178" s="3" t="s">
        <v>39</v>
      </c>
      <c r="K178" s="3">
        <v>1144.33</v>
      </c>
      <c r="L178" s="3">
        <v>7</v>
      </c>
      <c r="M178" s="3">
        <v>288.48</v>
      </c>
      <c r="N178" s="3">
        <v>0.05</v>
      </c>
    </row>
    <row r="179" spans="3:14" ht="15" hidden="1" customHeight="1">
      <c r="C179" s="3" t="s">
        <v>80</v>
      </c>
      <c r="D179" s="25">
        <v>45928</v>
      </c>
      <c r="E179" s="3" t="s">
        <v>41</v>
      </c>
      <c r="F179" s="3" t="s">
        <v>14</v>
      </c>
      <c r="G179" s="3" t="s">
        <v>15</v>
      </c>
      <c r="H179" s="3" t="s">
        <v>81</v>
      </c>
      <c r="I179" s="3" t="s">
        <v>82</v>
      </c>
      <c r="J179" s="3" t="s">
        <v>35</v>
      </c>
      <c r="K179" s="3">
        <v>1144.18</v>
      </c>
      <c r="L179" s="3">
        <v>5</v>
      </c>
      <c r="M179" s="3">
        <v>233.65</v>
      </c>
      <c r="N179" s="3">
        <v>0.11</v>
      </c>
    </row>
    <row r="180" spans="3:14" ht="15" hidden="1" customHeight="1">
      <c r="C180" s="3" t="s">
        <v>692</v>
      </c>
      <c r="D180" s="25">
        <v>46002</v>
      </c>
      <c r="E180" s="3" t="s">
        <v>41</v>
      </c>
      <c r="F180" s="3" t="s">
        <v>14</v>
      </c>
      <c r="G180" s="3" t="s">
        <v>15</v>
      </c>
      <c r="H180" s="3" t="s">
        <v>693</v>
      </c>
      <c r="I180" s="3" t="s">
        <v>694</v>
      </c>
      <c r="J180" s="3" t="s">
        <v>35</v>
      </c>
      <c r="K180" s="3">
        <v>1136.49</v>
      </c>
      <c r="L180" s="3">
        <v>1</v>
      </c>
      <c r="M180" s="3">
        <v>441.09</v>
      </c>
      <c r="N180" s="3">
        <v>0.16</v>
      </c>
    </row>
    <row r="181" spans="3:14" ht="15" hidden="1" customHeight="1">
      <c r="C181" s="3" t="s">
        <v>590</v>
      </c>
      <c r="D181" s="25">
        <v>45762</v>
      </c>
      <c r="E181" s="3" t="s">
        <v>28</v>
      </c>
      <c r="F181" s="3" t="s">
        <v>21</v>
      </c>
      <c r="G181" s="3" t="s">
        <v>15</v>
      </c>
      <c r="H181" s="3" t="s">
        <v>591</v>
      </c>
      <c r="I181" s="3" t="s">
        <v>592</v>
      </c>
      <c r="J181" s="3" t="s">
        <v>39</v>
      </c>
      <c r="K181" s="3">
        <v>1133.18</v>
      </c>
      <c r="L181" s="3">
        <v>3</v>
      </c>
      <c r="M181" s="3">
        <v>349.23</v>
      </c>
      <c r="N181" s="3">
        <v>0.2</v>
      </c>
    </row>
    <row r="182" spans="3:14" ht="15" hidden="1" customHeight="1">
      <c r="C182" s="3" t="s">
        <v>1181</v>
      </c>
      <c r="D182" s="25">
        <v>45663</v>
      </c>
      <c r="E182" s="3" t="s">
        <v>28</v>
      </c>
      <c r="F182" s="3" t="s">
        <v>14</v>
      </c>
      <c r="G182" s="3" t="s">
        <v>15</v>
      </c>
      <c r="H182" s="3" t="s">
        <v>1182</v>
      </c>
      <c r="I182" s="3" t="s">
        <v>1183</v>
      </c>
      <c r="J182" s="3" t="s">
        <v>18</v>
      </c>
      <c r="K182" s="3">
        <v>1129.83</v>
      </c>
      <c r="L182" s="3">
        <v>4</v>
      </c>
      <c r="M182" s="3">
        <v>136.41</v>
      </c>
      <c r="N182" s="3">
        <v>0.05</v>
      </c>
    </row>
    <row r="183" spans="3:14" ht="15" hidden="1" customHeight="1">
      <c r="C183" s="3" t="s">
        <v>830</v>
      </c>
      <c r="D183" s="25">
        <v>45831</v>
      </c>
      <c r="E183" s="3" t="s">
        <v>28</v>
      </c>
      <c r="F183" s="3" t="s">
        <v>32</v>
      </c>
      <c r="G183" s="3" t="s">
        <v>15</v>
      </c>
      <c r="H183" s="3" t="s">
        <v>831</v>
      </c>
      <c r="I183" s="3" t="s">
        <v>832</v>
      </c>
      <c r="J183" s="3" t="s">
        <v>39</v>
      </c>
      <c r="K183" s="3">
        <v>1125.6500000000001</v>
      </c>
      <c r="L183" s="3">
        <v>4</v>
      </c>
      <c r="M183" s="3">
        <v>316.87</v>
      </c>
      <c r="N183" s="3">
        <v>0.24</v>
      </c>
    </row>
    <row r="184" spans="3:14" ht="15" hidden="1" customHeight="1">
      <c r="C184" s="3" t="s">
        <v>140</v>
      </c>
      <c r="D184" s="25">
        <v>45979</v>
      </c>
      <c r="E184" s="3" t="s">
        <v>28</v>
      </c>
      <c r="F184" s="3" t="s">
        <v>32</v>
      </c>
      <c r="G184" s="3" t="s">
        <v>15</v>
      </c>
      <c r="H184" s="3" t="s">
        <v>141</v>
      </c>
      <c r="I184" s="3" t="s">
        <v>142</v>
      </c>
      <c r="J184" s="3" t="s">
        <v>18</v>
      </c>
      <c r="K184" s="3">
        <v>1117.02</v>
      </c>
      <c r="L184" s="3">
        <v>4</v>
      </c>
      <c r="M184" s="3">
        <v>167.64</v>
      </c>
      <c r="N184" s="3">
        <v>0.15</v>
      </c>
    </row>
    <row r="185" spans="3:14" ht="15" hidden="1" customHeight="1">
      <c r="C185" s="3" t="s">
        <v>368</v>
      </c>
      <c r="D185" s="25">
        <v>45856</v>
      </c>
      <c r="E185" s="3" t="s">
        <v>13</v>
      </c>
      <c r="F185" s="3" t="s">
        <v>32</v>
      </c>
      <c r="G185" s="3" t="s">
        <v>15</v>
      </c>
      <c r="H185" s="3" t="s">
        <v>369</v>
      </c>
      <c r="I185" s="3" t="s">
        <v>370</v>
      </c>
      <c r="J185" s="3" t="s">
        <v>35</v>
      </c>
      <c r="K185" s="3">
        <v>1116.6099999999999</v>
      </c>
      <c r="L185" s="3">
        <v>3</v>
      </c>
      <c r="M185" s="3">
        <v>231.7</v>
      </c>
      <c r="N185" s="3">
        <v>0.22</v>
      </c>
    </row>
    <row r="186" spans="3:14" ht="15" customHeight="1">
      <c r="C186" s="3" t="s">
        <v>1202</v>
      </c>
      <c r="D186" s="25">
        <v>46015</v>
      </c>
      <c r="E186" s="3" t="s">
        <v>41</v>
      </c>
      <c r="F186" s="3" t="s">
        <v>14</v>
      </c>
      <c r="G186" s="3" t="s">
        <v>15</v>
      </c>
      <c r="H186" s="3" t="s">
        <v>1203</v>
      </c>
      <c r="I186" s="3" t="s">
        <v>1204</v>
      </c>
      <c r="J186" s="3" t="s">
        <v>35</v>
      </c>
      <c r="K186" s="3">
        <v>1114.8499999999999</v>
      </c>
      <c r="L186" s="3">
        <v>4</v>
      </c>
      <c r="M186" s="3">
        <v>366.15</v>
      </c>
      <c r="N186" s="3">
        <v>0.21</v>
      </c>
    </row>
    <row r="187" spans="3:14" ht="15" hidden="1" customHeight="1">
      <c r="C187" s="3" t="s">
        <v>875</v>
      </c>
      <c r="D187" s="25">
        <v>45821</v>
      </c>
      <c r="E187" s="3" t="s">
        <v>13</v>
      </c>
      <c r="F187" s="3" t="s">
        <v>21</v>
      </c>
      <c r="G187" s="3" t="s">
        <v>15</v>
      </c>
      <c r="H187" s="3" t="s">
        <v>876</v>
      </c>
      <c r="I187" s="3" t="s">
        <v>877</v>
      </c>
      <c r="J187" s="3" t="s">
        <v>18</v>
      </c>
      <c r="K187" s="3">
        <v>1109.45</v>
      </c>
      <c r="L187" s="3">
        <v>1</v>
      </c>
      <c r="M187" s="3">
        <v>240.09</v>
      </c>
      <c r="N187" s="3">
        <v>0.16</v>
      </c>
    </row>
    <row r="188" spans="3:14" ht="15" hidden="1" customHeight="1">
      <c r="C188" s="3" t="s">
        <v>827</v>
      </c>
      <c r="D188" s="25">
        <v>45810</v>
      </c>
      <c r="E188" s="3" t="s">
        <v>13</v>
      </c>
      <c r="F188" s="3" t="s">
        <v>21</v>
      </c>
      <c r="G188" s="3" t="s">
        <v>15</v>
      </c>
      <c r="H188" s="3" t="s">
        <v>828</v>
      </c>
      <c r="I188" s="3" t="s">
        <v>829</v>
      </c>
      <c r="J188" s="3" t="s">
        <v>18</v>
      </c>
      <c r="K188" s="3">
        <v>1103.1500000000001</v>
      </c>
      <c r="L188" s="3">
        <v>3</v>
      </c>
      <c r="M188" s="3">
        <v>136.11000000000001</v>
      </c>
      <c r="N188" s="3">
        <v>0.11</v>
      </c>
    </row>
    <row r="189" spans="3:14" ht="15" hidden="1" customHeight="1">
      <c r="C189" s="3" t="s">
        <v>1025</v>
      </c>
      <c r="D189" s="25">
        <v>45715</v>
      </c>
      <c r="E189" s="3" t="s">
        <v>41</v>
      </c>
      <c r="F189" s="3" t="s">
        <v>21</v>
      </c>
      <c r="G189" s="3" t="s">
        <v>15</v>
      </c>
      <c r="H189" s="3" t="s">
        <v>1026</v>
      </c>
      <c r="I189" s="3" t="s">
        <v>1027</v>
      </c>
      <c r="J189" s="3" t="s">
        <v>39</v>
      </c>
      <c r="K189" s="3">
        <v>1101.6400000000001</v>
      </c>
      <c r="L189" s="3">
        <v>7</v>
      </c>
      <c r="M189" s="3">
        <v>269.13</v>
      </c>
      <c r="N189" s="3">
        <v>0.17</v>
      </c>
    </row>
    <row r="190" spans="3:14" ht="15" customHeight="1">
      <c r="C190" s="3" t="s">
        <v>362</v>
      </c>
      <c r="D190" s="25">
        <v>45826</v>
      </c>
      <c r="E190" s="3" t="s">
        <v>13</v>
      </c>
      <c r="F190" s="3" t="s">
        <v>14</v>
      </c>
      <c r="G190" s="3" t="s">
        <v>15</v>
      </c>
      <c r="H190" s="3" t="s">
        <v>363</v>
      </c>
      <c r="I190" s="3" t="s">
        <v>364</v>
      </c>
      <c r="J190" s="3" t="s">
        <v>39</v>
      </c>
      <c r="K190" s="3">
        <v>1098.78</v>
      </c>
      <c r="L190" s="3">
        <v>2</v>
      </c>
      <c r="M190" s="3">
        <v>303.47000000000003</v>
      </c>
      <c r="N190" s="3">
        <v>0.3</v>
      </c>
    </row>
    <row r="191" spans="3:14" ht="15" hidden="1" customHeight="1">
      <c r="C191" s="3" t="s">
        <v>656</v>
      </c>
      <c r="D191" s="25">
        <v>45737</v>
      </c>
      <c r="E191" s="3" t="s">
        <v>13</v>
      </c>
      <c r="F191" s="3" t="s">
        <v>21</v>
      </c>
      <c r="G191" s="3" t="s">
        <v>15</v>
      </c>
      <c r="H191" s="3" t="s">
        <v>657</v>
      </c>
      <c r="I191" s="3" t="s">
        <v>658</v>
      </c>
      <c r="J191" s="3" t="s">
        <v>18</v>
      </c>
      <c r="K191" s="3">
        <v>1090.02</v>
      </c>
      <c r="L191" s="3">
        <v>10</v>
      </c>
      <c r="M191" s="3">
        <v>403.52</v>
      </c>
      <c r="N191" s="3">
        <v>0.06</v>
      </c>
    </row>
    <row r="192" spans="3:14" ht="15" hidden="1" customHeight="1">
      <c r="C192" s="3" t="s">
        <v>680</v>
      </c>
      <c r="D192" s="25">
        <v>45848</v>
      </c>
      <c r="E192" s="3" t="s">
        <v>28</v>
      </c>
      <c r="F192" s="3" t="s">
        <v>32</v>
      </c>
      <c r="G192" s="3" t="s">
        <v>15</v>
      </c>
      <c r="H192" s="3" t="s">
        <v>681</v>
      </c>
      <c r="I192" s="3" t="s">
        <v>682</v>
      </c>
      <c r="J192" s="3" t="s">
        <v>18</v>
      </c>
      <c r="K192" s="3">
        <v>1086.69</v>
      </c>
      <c r="L192" s="3">
        <v>8</v>
      </c>
      <c r="M192" s="3">
        <v>421.47</v>
      </c>
      <c r="N192" s="3">
        <v>0.09</v>
      </c>
    </row>
    <row r="193" spans="3:14" ht="15" hidden="1" customHeight="1">
      <c r="C193" s="3" t="s">
        <v>1040</v>
      </c>
      <c r="D193" s="25">
        <v>45803</v>
      </c>
      <c r="E193" s="3" t="s">
        <v>28</v>
      </c>
      <c r="F193" s="3" t="s">
        <v>21</v>
      </c>
      <c r="G193" s="3" t="s">
        <v>15</v>
      </c>
      <c r="H193" s="3" t="s">
        <v>1041</v>
      </c>
      <c r="I193" s="3" t="s">
        <v>1042</v>
      </c>
      <c r="J193" s="3" t="s">
        <v>39</v>
      </c>
      <c r="K193" s="3">
        <v>1081.57</v>
      </c>
      <c r="L193" s="3">
        <v>6</v>
      </c>
      <c r="M193" s="3">
        <v>224.95</v>
      </c>
      <c r="N193" s="3">
        <v>0.01</v>
      </c>
    </row>
    <row r="194" spans="3:14" ht="15" hidden="1" customHeight="1">
      <c r="C194" s="3" t="s">
        <v>395</v>
      </c>
      <c r="D194" s="25">
        <v>45821</v>
      </c>
      <c r="E194" s="3" t="s">
        <v>13</v>
      </c>
      <c r="F194" s="3" t="s">
        <v>14</v>
      </c>
      <c r="G194" s="3" t="s">
        <v>15</v>
      </c>
      <c r="H194" s="3" t="s">
        <v>396</v>
      </c>
      <c r="I194" s="3" t="s">
        <v>397</v>
      </c>
      <c r="J194" s="3" t="s">
        <v>39</v>
      </c>
      <c r="K194" s="3">
        <v>1076.49</v>
      </c>
      <c r="L194" s="3">
        <v>3</v>
      </c>
      <c r="M194" s="3">
        <v>93.19</v>
      </c>
      <c r="N194" s="3">
        <v>0.09</v>
      </c>
    </row>
    <row r="195" spans="3:14" ht="15" hidden="1" customHeight="1">
      <c r="C195" s="3" t="s">
        <v>911</v>
      </c>
      <c r="D195" s="25">
        <v>45904</v>
      </c>
      <c r="E195" s="3" t="s">
        <v>20</v>
      </c>
      <c r="F195" s="3" t="s">
        <v>32</v>
      </c>
      <c r="G195" s="3" t="s">
        <v>15</v>
      </c>
      <c r="H195" s="3" t="s">
        <v>912</v>
      </c>
      <c r="I195" s="3" t="s">
        <v>913</v>
      </c>
      <c r="J195" s="3" t="s">
        <v>39</v>
      </c>
      <c r="K195" s="3">
        <v>1076.32</v>
      </c>
      <c r="L195" s="3">
        <v>1</v>
      </c>
      <c r="M195" s="3">
        <v>186.72</v>
      </c>
      <c r="N195" s="3">
        <v>0.12</v>
      </c>
    </row>
    <row r="196" spans="3:14" ht="15" customHeight="1">
      <c r="C196" s="3" t="s">
        <v>428</v>
      </c>
      <c r="D196" s="25">
        <v>45724</v>
      </c>
      <c r="E196" s="3" t="s">
        <v>28</v>
      </c>
      <c r="F196" s="3" t="s">
        <v>14</v>
      </c>
      <c r="G196" s="3" t="s">
        <v>15</v>
      </c>
      <c r="H196" s="3" t="s">
        <v>429</v>
      </c>
      <c r="I196" s="3" t="s">
        <v>430</v>
      </c>
      <c r="J196" s="3" t="s">
        <v>18</v>
      </c>
      <c r="K196" s="3">
        <v>1061.21</v>
      </c>
      <c r="L196" s="3">
        <v>9</v>
      </c>
      <c r="M196" s="3">
        <v>144.66999999999999</v>
      </c>
      <c r="N196" s="3">
        <v>0.27</v>
      </c>
    </row>
    <row r="197" spans="3:14" ht="15" hidden="1" customHeight="1">
      <c r="C197" s="3" t="s">
        <v>929</v>
      </c>
      <c r="D197" s="25">
        <v>45788</v>
      </c>
      <c r="E197" s="3" t="s">
        <v>20</v>
      </c>
      <c r="F197" s="3" t="s">
        <v>21</v>
      </c>
      <c r="G197" s="3" t="s">
        <v>15</v>
      </c>
      <c r="H197" s="3" t="s">
        <v>930</v>
      </c>
      <c r="I197" s="3" t="s">
        <v>931</v>
      </c>
      <c r="J197" s="3" t="s">
        <v>39</v>
      </c>
      <c r="K197" s="3">
        <v>1060.56</v>
      </c>
      <c r="L197" s="3">
        <v>1</v>
      </c>
      <c r="M197" s="3">
        <v>139.59</v>
      </c>
      <c r="N197" s="3">
        <v>0.19</v>
      </c>
    </row>
    <row r="198" spans="3:14" ht="15" hidden="1" customHeight="1">
      <c r="C198" s="3" t="s">
        <v>71</v>
      </c>
      <c r="D198" s="25">
        <v>45771</v>
      </c>
      <c r="E198" s="3" t="s">
        <v>28</v>
      </c>
      <c r="F198" s="3" t="s">
        <v>21</v>
      </c>
      <c r="G198" s="3" t="s">
        <v>15</v>
      </c>
      <c r="H198" s="3" t="s">
        <v>72</v>
      </c>
      <c r="I198" s="3" t="s">
        <v>73</v>
      </c>
      <c r="J198" s="3" t="s">
        <v>35</v>
      </c>
      <c r="K198" s="3">
        <v>1042.19</v>
      </c>
      <c r="L198" s="3">
        <v>2</v>
      </c>
      <c r="M198" s="3">
        <v>138.52000000000001</v>
      </c>
      <c r="N198" s="3">
        <v>0.28000000000000003</v>
      </c>
    </row>
    <row r="199" spans="3:14" ht="15" hidden="1" customHeight="1">
      <c r="C199" s="3" t="s">
        <v>785</v>
      </c>
      <c r="D199" s="25">
        <v>45903</v>
      </c>
      <c r="E199" s="3" t="s">
        <v>41</v>
      </c>
      <c r="F199" s="3" t="s">
        <v>32</v>
      </c>
      <c r="G199" s="3" t="s">
        <v>15</v>
      </c>
      <c r="H199" s="3" t="s">
        <v>786</v>
      </c>
      <c r="I199" s="3" t="s">
        <v>787</v>
      </c>
      <c r="J199" s="3" t="s">
        <v>35</v>
      </c>
      <c r="K199" s="3">
        <v>1041.72</v>
      </c>
      <c r="L199" s="3">
        <v>8</v>
      </c>
      <c r="M199" s="3">
        <v>113.35</v>
      </c>
      <c r="N199" s="3">
        <v>0.19</v>
      </c>
    </row>
    <row r="200" spans="3:14" ht="15" hidden="1" customHeight="1">
      <c r="C200" s="3" t="s">
        <v>320</v>
      </c>
      <c r="D200" s="25">
        <v>45841</v>
      </c>
      <c r="E200" s="3" t="s">
        <v>20</v>
      </c>
      <c r="F200" s="3" t="s">
        <v>14</v>
      </c>
      <c r="G200" s="3" t="s">
        <v>15</v>
      </c>
      <c r="H200" s="3" t="s">
        <v>321</v>
      </c>
      <c r="I200" s="3" t="s">
        <v>322</v>
      </c>
      <c r="J200" s="3" t="s">
        <v>18</v>
      </c>
      <c r="K200" s="3">
        <v>1041.47</v>
      </c>
      <c r="L200" s="3">
        <v>7</v>
      </c>
      <c r="M200" s="3">
        <v>91.72</v>
      </c>
      <c r="N200" s="3">
        <v>0.11</v>
      </c>
    </row>
    <row r="201" spans="3:14" ht="15" hidden="1" customHeight="1">
      <c r="C201" s="3" t="s">
        <v>356</v>
      </c>
      <c r="D201" s="25">
        <v>45861</v>
      </c>
      <c r="E201" s="3" t="s">
        <v>13</v>
      </c>
      <c r="F201" s="3" t="s">
        <v>32</v>
      </c>
      <c r="G201" s="3" t="s">
        <v>15</v>
      </c>
      <c r="H201" s="3" t="s">
        <v>357</v>
      </c>
      <c r="I201" s="3" t="s">
        <v>358</v>
      </c>
      <c r="J201" s="3" t="s">
        <v>35</v>
      </c>
      <c r="K201" s="3">
        <v>1041.3800000000001</v>
      </c>
      <c r="L201" s="3">
        <v>2</v>
      </c>
      <c r="M201" s="3">
        <v>338.72</v>
      </c>
      <c r="N201" s="3">
        <v>0.14000000000000001</v>
      </c>
    </row>
    <row r="202" spans="3:14" ht="15" hidden="1" customHeight="1">
      <c r="C202" s="3" t="s">
        <v>545</v>
      </c>
      <c r="D202" s="25">
        <v>46007</v>
      </c>
      <c r="E202" s="3" t="s">
        <v>20</v>
      </c>
      <c r="F202" s="3" t="s">
        <v>14</v>
      </c>
      <c r="G202" s="3" t="s">
        <v>15</v>
      </c>
      <c r="H202" s="3" t="s">
        <v>546</v>
      </c>
      <c r="I202" s="3" t="s">
        <v>547</v>
      </c>
      <c r="J202" s="3" t="s">
        <v>18</v>
      </c>
      <c r="K202" s="3">
        <v>1040.8</v>
      </c>
      <c r="L202" s="3">
        <v>3</v>
      </c>
      <c r="M202" s="3">
        <v>75.16</v>
      </c>
      <c r="N202" s="3">
        <v>0.15</v>
      </c>
    </row>
    <row r="203" spans="3:14" ht="15" hidden="1" customHeight="1">
      <c r="C203" s="3" t="s">
        <v>305</v>
      </c>
      <c r="D203" s="25">
        <v>46003</v>
      </c>
      <c r="E203" s="3" t="s">
        <v>13</v>
      </c>
      <c r="F203" s="3" t="s">
        <v>21</v>
      </c>
      <c r="G203" s="3" t="s">
        <v>15</v>
      </c>
      <c r="H203" s="3" t="s">
        <v>306</v>
      </c>
      <c r="I203" s="3" t="s">
        <v>307</v>
      </c>
      <c r="J203" s="3" t="s">
        <v>35</v>
      </c>
      <c r="K203" s="3">
        <v>1038.3399999999999</v>
      </c>
      <c r="L203" s="3">
        <v>9</v>
      </c>
      <c r="M203" s="3">
        <v>187.15</v>
      </c>
      <c r="N203" s="3">
        <v>0.13</v>
      </c>
    </row>
    <row r="204" spans="3:14" ht="15" hidden="1" customHeight="1">
      <c r="C204" s="3" t="s">
        <v>31</v>
      </c>
      <c r="D204" s="25">
        <v>45722</v>
      </c>
      <c r="E204" s="3" t="s">
        <v>28</v>
      </c>
      <c r="F204" s="3" t="s">
        <v>32</v>
      </c>
      <c r="G204" s="3" t="s">
        <v>15</v>
      </c>
      <c r="H204" s="3" t="s">
        <v>33</v>
      </c>
      <c r="I204" s="3" t="s">
        <v>34</v>
      </c>
      <c r="J204" s="3" t="s">
        <v>35</v>
      </c>
      <c r="K204" s="3">
        <v>1037.92</v>
      </c>
      <c r="L204" s="3">
        <v>2</v>
      </c>
      <c r="M204" s="3">
        <v>393.31</v>
      </c>
      <c r="N204" s="3">
        <v>0.06</v>
      </c>
    </row>
    <row r="205" spans="3:14" ht="15" hidden="1" customHeight="1">
      <c r="C205" s="3" t="s">
        <v>938</v>
      </c>
      <c r="D205" s="25">
        <v>45860</v>
      </c>
      <c r="E205" s="3" t="s">
        <v>13</v>
      </c>
      <c r="F205" s="3" t="s">
        <v>32</v>
      </c>
      <c r="G205" s="3" t="s">
        <v>15</v>
      </c>
      <c r="H205" s="3" t="s">
        <v>939</v>
      </c>
      <c r="I205" s="3" t="s">
        <v>940</v>
      </c>
      <c r="J205" s="3" t="s">
        <v>18</v>
      </c>
      <c r="K205" s="3">
        <v>1032.83</v>
      </c>
      <c r="L205" s="3">
        <v>2</v>
      </c>
      <c r="M205" s="3">
        <v>247.92</v>
      </c>
      <c r="N205" s="3">
        <v>0.09</v>
      </c>
    </row>
    <row r="206" spans="3:14" ht="15" customHeight="1">
      <c r="C206" s="3" t="s">
        <v>1067</v>
      </c>
      <c r="D206" s="25">
        <v>45826</v>
      </c>
      <c r="E206" s="3" t="s">
        <v>41</v>
      </c>
      <c r="F206" s="3" t="s">
        <v>14</v>
      </c>
      <c r="G206" s="3" t="s">
        <v>15</v>
      </c>
      <c r="H206" s="3" t="s">
        <v>1068</v>
      </c>
      <c r="I206" s="3" t="s">
        <v>1069</v>
      </c>
      <c r="J206" s="3" t="s">
        <v>35</v>
      </c>
      <c r="K206" s="3">
        <v>1027.96</v>
      </c>
      <c r="L206" s="3">
        <v>2</v>
      </c>
      <c r="M206" s="3">
        <v>159.22999999999999</v>
      </c>
      <c r="N206" s="3">
        <v>0.26</v>
      </c>
    </row>
    <row r="207" spans="3:14" ht="15" hidden="1" customHeight="1">
      <c r="C207" s="3" t="s">
        <v>842</v>
      </c>
      <c r="D207" s="25">
        <v>45758</v>
      </c>
      <c r="E207" s="3" t="s">
        <v>28</v>
      </c>
      <c r="F207" s="3" t="s">
        <v>32</v>
      </c>
      <c r="G207" s="3" t="s">
        <v>15</v>
      </c>
      <c r="H207" s="3" t="s">
        <v>843</v>
      </c>
      <c r="I207" s="3" t="s">
        <v>844</v>
      </c>
      <c r="J207" s="3" t="s">
        <v>35</v>
      </c>
      <c r="K207" s="3">
        <v>1027.95</v>
      </c>
      <c r="L207" s="3">
        <v>4</v>
      </c>
      <c r="M207" s="3">
        <v>304.58999999999997</v>
      </c>
      <c r="N207" s="3">
        <v>0.1</v>
      </c>
    </row>
    <row r="208" spans="3:14" ht="15" hidden="1" customHeight="1">
      <c r="C208" s="3" t="s">
        <v>1052</v>
      </c>
      <c r="D208" s="25">
        <v>45966</v>
      </c>
      <c r="E208" s="3" t="s">
        <v>20</v>
      </c>
      <c r="F208" s="3" t="s">
        <v>21</v>
      </c>
      <c r="G208" s="3" t="s">
        <v>15</v>
      </c>
      <c r="H208" s="3" t="s">
        <v>1053</v>
      </c>
      <c r="I208" s="3" t="s">
        <v>1054</v>
      </c>
      <c r="J208" s="3" t="s">
        <v>35</v>
      </c>
      <c r="K208" s="3">
        <v>1025.18</v>
      </c>
      <c r="L208" s="3">
        <v>3</v>
      </c>
      <c r="M208" s="3">
        <v>366.12</v>
      </c>
      <c r="N208" s="3">
        <v>0.02</v>
      </c>
    </row>
    <row r="209" spans="3:14" ht="15" hidden="1" customHeight="1">
      <c r="C209" s="3" t="s">
        <v>209</v>
      </c>
      <c r="D209" s="25">
        <v>45738</v>
      </c>
      <c r="E209" s="3" t="s">
        <v>20</v>
      </c>
      <c r="F209" s="3" t="s">
        <v>32</v>
      </c>
      <c r="G209" s="3" t="s">
        <v>15</v>
      </c>
      <c r="H209" s="3" t="s">
        <v>210</v>
      </c>
      <c r="I209" s="3" t="s">
        <v>211</v>
      </c>
      <c r="J209" s="3" t="s">
        <v>35</v>
      </c>
      <c r="K209" s="3">
        <v>1023.3</v>
      </c>
      <c r="L209" s="3">
        <v>6</v>
      </c>
      <c r="M209" s="3">
        <v>267.27999999999997</v>
      </c>
      <c r="N209" s="3">
        <v>0.02</v>
      </c>
    </row>
    <row r="210" spans="3:14" ht="15" hidden="1" customHeight="1">
      <c r="C210" s="3" t="s">
        <v>971</v>
      </c>
      <c r="D210" s="25">
        <v>45765</v>
      </c>
      <c r="E210" s="3" t="s">
        <v>20</v>
      </c>
      <c r="F210" s="3" t="s">
        <v>14</v>
      </c>
      <c r="G210" s="3" t="s">
        <v>15</v>
      </c>
      <c r="H210" s="3" t="s">
        <v>972</v>
      </c>
      <c r="I210" s="3" t="s">
        <v>973</v>
      </c>
      <c r="J210" s="3" t="s">
        <v>35</v>
      </c>
      <c r="K210" s="3">
        <v>1018.77</v>
      </c>
      <c r="L210" s="3">
        <v>4</v>
      </c>
      <c r="M210" s="3">
        <v>184.56</v>
      </c>
      <c r="N210" s="3">
        <v>7.0000000000000007E-2</v>
      </c>
    </row>
    <row r="211" spans="3:14" ht="15" hidden="1" customHeight="1">
      <c r="C211" s="3" t="s">
        <v>293</v>
      </c>
      <c r="D211" s="25">
        <v>45696</v>
      </c>
      <c r="E211" s="3" t="s">
        <v>28</v>
      </c>
      <c r="F211" s="3" t="s">
        <v>32</v>
      </c>
      <c r="G211" s="3" t="s">
        <v>15</v>
      </c>
      <c r="H211" s="3" t="s">
        <v>294</v>
      </c>
      <c r="I211" s="3" t="s">
        <v>295</v>
      </c>
      <c r="J211" s="3" t="s">
        <v>39</v>
      </c>
      <c r="K211" s="3">
        <v>1014.69</v>
      </c>
      <c r="L211" s="3">
        <v>1</v>
      </c>
      <c r="M211" s="3">
        <v>146.44</v>
      </c>
      <c r="N211" s="3">
        <v>0.05</v>
      </c>
    </row>
    <row r="212" spans="3:14" ht="15" hidden="1" customHeight="1">
      <c r="C212" s="3" t="s">
        <v>164</v>
      </c>
      <c r="D212" s="25">
        <v>45709</v>
      </c>
      <c r="E212" s="3" t="s">
        <v>13</v>
      </c>
      <c r="F212" s="3" t="s">
        <v>32</v>
      </c>
      <c r="G212" s="3" t="s">
        <v>15</v>
      </c>
      <c r="H212" s="3" t="s">
        <v>165</v>
      </c>
      <c r="I212" s="3" t="s">
        <v>166</v>
      </c>
      <c r="J212" s="3" t="s">
        <v>35</v>
      </c>
      <c r="K212" s="3">
        <v>1011.74</v>
      </c>
      <c r="L212" s="3">
        <v>8</v>
      </c>
      <c r="M212" s="3">
        <v>58.48</v>
      </c>
      <c r="N212" s="3">
        <v>0</v>
      </c>
    </row>
    <row r="213" spans="3:14" ht="15" customHeight="1">
      <c r="C213" s="3" t="s">
        <v>977</v>
      </c>
      <c r="D213" s="25">
        <v>45999</v>
      </c>
      <c r="E213" s="3" t="s">
        <v>20</v>
      </c>
      <c r="F213" s="3" t="s">
        <v>14</v>
      </c>
      <c r="G213" s="3" t="s">
        <v>15</v>
      </c>
      <c r="H213" s="3" t="s">
        <v>978</v>
      </c>
      <c r="I213" s="3" t="s">
        <v>979</v>
      </c>
      <c r="J213" s="3" t="s">
        <v>35</v>
      </c>
      <c r="K213" s="3">
        <v>1007.05</v>
      </c>
      <c r="L213" s="3">
        <v>6</v>
      </c>
      <c r="M213" s="3">
        <v>313.42</v>
      </c>
      <c r="N213" s="3">
        <v>0.28999999999999998</v>
      </c>
    </row>
    <row r="214" spans="3:14" ht="15" hidden="1" customHeight="1">
      <c r="C214" s="3" t="s">
        <v>881</v>
      </c>
      <c r="D214" s="25">
        <v>45818</v>
      </c>
      <c r="E214" s="3" t="s">
        <v>41</v>
      </c>
      <c r="F214" s="3" t="s">
        <v>32</v>
      </c>
      <c r="G214" s="3" t="s">
        <v>15</v>
      </c>
      <c r="H214" s="3" t="s">
        <v>882</v>
      </c>
      <c r="I214" s="3" t="s">
        <v>883</v>
      </c>
      <c r="J214" s="3" t="s">
        <v>35</v>
      </c>
      <c r="K214" s="3">
        <v>1005.32</v>
      </c>
      <c r="L214" s="3">
        <v>1</v>
      </c>
      <c r="M214" s="3">
        <v>78.790000000000006</v>
      </c>
      <c r="N214" s="3">
        <v>0.25</v>
      </c>
    </row>
    <row r="215" spans="3:14" ht="15" hidden="1" customHeight="1">
      <c r="C215" s="3" t="s">
        <v>776</v>
      </c>
      <c r="D215" s="25">
        <v>45956</v>
      </c>
      <c r="E215" s="3" t="s">
        <v>20</v>
      </c>
      <c r="F215" s="3" t="s">
        <v>21</v>
      </c>
      <c r="G215" s="3" t="s">
        <v>15</v>
      </c>
      <c r="H215" s="3" t="s">
        <v>777</v>
      </c>
      <c r="I215" s="3" t="s">
        <v>778</v>
      </c>
      <c r="J215" s="3" t="s">
        <v>39</v>
      </c>
      <c r="K215" s="3">
        <v>998.59</v>
      </c>
      <c r="L215" s="3">
        <v>10</v>
      </c>
      <c r="M215" s="3">
        <v>284.93</v>
      </c>
      <c r="N215" s="3">
        <v>0.19</v>
      </c>
    </row>
    <row r="216" spans="3:14" ht="15" hidden="1" customHeight="1">
      <c r="C216" s="3" t="s">
        <v>407</v>
      </c>
      <c r="D216" s="25">
        <v>45756</v>
      </c>
      <c r="E216" s="3" t="s">
        <v>20</v>
      </c>
      <c r="F216" s="3" t="s">
        <v>21</v>
      </c>
      <c r="G216" s="3" t="s">
        <v>15</v>
      </c>
      <c r="H216" s="3" t="s">
        <v>408</v>
      </c>
      <c r="I216" s="3" t="s">
        <v>409</v>
      </c>
      <c r="J216" s="3" t="s">
        <v>18</v>
      </c>
      <c r="K216" s="3">
        <v>984.45</v>
      </c>
      <c r="L216" s="3">
        <v>9</v>
      </c>
      <c r="M216" s="3">
        <v>115.21</v>
      </c>
      <c r="N216" s="3">
        <v>0.02</v>
      </c>
    </row>
    <row r="217" spans="3:14" ht="15" hidden="1" customHeight="1">
      <c r="C217" s="3" t="s">
        <v>866</v>
      </c>
      <c r="D217" s="25">
        <v>45720</v>
      </c>
      <c r="E217" s="3" t="s">
        <v>41</v>
      </c>
      <c r="F217" s="3" t="s">
        <v>32</v>
      </c>
      <c r="G217" s="3" t="s">
        <v>15</v>
      </c>
      <c r="H217" s="3" t="s">
        <v>867</v>
      </c>
      <c r="I217" s="3" t="s">
        <v>868</v>
      </c>
      <c r="J217" s="3" t="s">
        <v>35</v>
      </c>
      <c r="K217" s="3">
        <v>983.68</v>
      </c>
      <c r="L217" s="3">
        <v>6</v>
      </c>
      <c r="M217" s="3">
        <v>60.81</v>
      </c>
      <c r="N217" s="3">
        <v>0.26</v>
      </c>
    </row>
    <row r="218" spans="3:14" ht="15" hidden="1" customHeight="1">
      <c r="C218" s="3" t="s">
        <v>206</v>
      </c>
      <c r="D218" s="25">
        <v>45810</v>
      </c>
      <c r="E218" s="3" t="s">
        <v>13</v>
      </c>
      <c r="F218" s="3" t="s">
        <v>32</v>
      </c>
      <c r="G218" s="3" t="s">
        <v>15</v>
      </c>
      <c r="H218" s="3" t="s">
        <v>207</v>
      </c>
      <c r="I218" s="3" t="s">
        <v>208</v>
      </c>
      <c r="J218" s="3" t="s">
        <v>39</v>
      </c>
      <c r="K218" s="3">
        <v>977.64</v>
      </c>
      <c r="L218" s="3">
        <v>7</v>
      </c>
      <c r="M218" s="3">
        <v>214.86</v>
      </c>
      <c r="N218" s="3">
        <v>0.2</v>
      </c>
    </row>
    <row r="219" spans="3:14" ht="15" hidden="1" customHeight="1">
      <c r="C219" s="3" t="s">
        <v>818</v>
      </c>
      <c r="D219" s="25">
        <v>45662</v>
      </c>
      <c r="E219" s="3" t="s">
        <v>41</v>
      </c>
      <c r="F219" s="3" t="s">
        <v>21</v>
      </c>
      <c r="G219" s="3" t="s">
        <v>15</v>
      </c>
      <c r="H219" s="3" t="s">
        <v>819</v>
      </c>
      <c r="I219" s="3" t="s">
        <v>820</v>
      </c>
      <c r="J219" s="3" t="s">
        <v>39</v>
      </c>
      <c r="K219" s="3">
        <v>977.09</v>
      </c>
      <c r="L219" s="3">
        <v>5</v>
      </c>
      <c r="M219" s="3">
        <v>85.93</v>
      </c>
      <c r="N219" s="3">
        <v>0.11</v>
      </c>
    </row>
    <row r="220" spans="3:14" ht="15" hidden="1" customHeight="1">
      <c r="C220" s="3" t="s">
        <v>12</v>
      </c>
      <c r="D220" s="25">
        <v>45954</v>
      </c>
      <c r="E220" s="3" t="s">
        <v>13</v>
      </c>
      <c r="F220" s="3" t="s">
        <v>14</v>
      </c>
      <c r="G220" s="3" t="s">
        <v>15</v>
      </c>
      <c r="H220" s="3" t="s">
        <v>16</v>
      </c>
      <c r="I220" s="3" t="s">
        <v>17</v>
      </c>
      <c r="J220" s="3" t="s">
        <v>18</v>
      </c>
      <c r="K220" s="3">
        <v>971.62</v>
      </c>
      <c r="L220" s="3">
        <v>5</v>
      </c>
      <c r="M220" s="3">
        <v>327.08999999999997</v>
      </c>
      <c r="N220" s="3">
        <v>0.1</v>
      </c>
    </row>
    <row r="221" spans="3:14" ht="15" hidden="1" customHeight="1">
      <c r="C221" s="3" t="s">
        <v>506</v>
      </c>
      <c r="D221" s="25">
        <v>45953</v>
      </c>
      <c r="E221" s="3" t="s">
        <v>13</v>
      </c>
      <c r="F221" s="3" t="s">
        <v>32</v>
      </c>
      <c r="G221" s="3" t="s">
        <v>15</v>
      </c>
      <c r="H221" s="3" t="s">
        <v>507</v>
      </c>
      <c r="I221" s="3" t="s">
        <v>508</v>
      </c>
      <c r="J221" s="3" t="s">
        <v>39</v>
      </c>
      <c r="K221" s="3">
        <v>971.54</v>
      </c>
      <c r="L221" s="3">
        <v>2</v>
      </c>
      <c r="M221" s="3">
        <v>299.31</v>
      </c>
      <c r="N221" s="3">
        <v>0.23</v>
      </c>
    </row>
    <row r="222" spans="3:14" ht="15" hidden="1" customHeight="1">
      <c r="C222" s="3" t="s">
        <v>269</v>
      </c>
      <c r="D222" s="25">
        <v>45967</v>
      </c>
      <c r="E222" s="3" t="s">
        <v>20</v>
      </c>
      <c r="F222" s="3" t="s">
        <v>32</v>
      </c>
      <c r="G222" s="3" t="s">
        <v>15</v>
      </c>
      <c r="H222" s="3" t="s">
        <v>270</v>
      </c>
      <c r="I222" s="3" t="s">
        <v>271</v>
      </c>
      <c r="J222" s="3" t="s">
        <v>18</v>
      </c>
      <c r="K222" s="3">
        <v>965.2</v>
      </c>
      <c r="L222" s="3">
        <v>7</v>
      </c>
      <c r="M222" s="3">
        <v>101.14</v>
      </c>
      <c r="N222" s="3">
        <v>0.19</v>
      </c>
    </row>
    <row r="223" spans="3:14" ht="15" hidden="1" customHeight="1">
      <c r="C223" s="3" t="s">
        <v>809</v>
      </c>
      <c r="D223" s="25">
        <v>45835</v>
      </c>
      <c r="E223" s="3" t="s">
        <v>20</v>
      </c>
      <c r="F223" s="3" t="s">
        <v>21</v>
      </c>
      <c r="G223" s="3" t="s">
        <v>15</v>
      </c>
      <c r="H223" s="3" t="s">
        <v>810</v>
      </c>
      <c r="I223" s="3" t="s">
        <v>811</v>
      </c>
      <c r="J223" s="3" t="s">
        <v>18</v>
      </c>
      <c r="K223" s="3">
        <v>947.57</v>
      </c>
      <c r="L223" s="3">
        <v>2</v>
      </c>
      <c r="M223" s="3">
        <v>290.12</v>
      </c>
      <c r="N223" s="3">
        <v>0.2</v>
      </c>
    </row>
    <row r="224" spans="3:14" ht="15" hidden="1" customHeight="1">
      <c r="C224" s="3" t="s">
        <v>569</v>
      </c>
      <c r="D224" s="25">
        <v>46005</v>
      </c>
      <c r="E224" s="3" t="s">
        <v>41</v>
      </c>
      <c r="F224" s="3" t="s">
        <v>32</v>
      </c>
      <c r="G224" s="3" t="s">
        <v>15</v>
      </c>
      <c r="H224" s="3" t="s">
        <v>570</v>
      </c>
      <c r="I224" s="3" t="s">
        <v>571</v>
      </c>
      <c r="J224" s="3" t="s">
        <v>18</v>
      </c>
      <c r="K224" s="3">
        <v>945.07</v>
      </c>
      <c r="L224" s="3">
        <v>6</v>
      </c>
      <c r="M224" s="3">
        <v>238.54</v>
      </c>
      <c r="N224" s="3">
        <v>0.02</v>
      </c>
    </row>
    <row r="225" spans="3:14" ht="15" customHeight="1">
      <c r="C225" s="3" t="s">
        <v>527</v>
      </c>
      <c r="D225" s="25">
        <v>45866</v>
      </c>
      <c r="E225" s="3" t="s">
        <v>28</v>
      </c>
      <c r="F225" s="3" t="s">
        <v>14</v>
      </c>
      <c r="G225" s="3" t="s">
        <v>15</v>
      </c>
      <c r="H225" s="3" t="s">
        <v>528</v>
      </c>
      <c r="I225" s="3" t="s">
        <v>529</v>
      </c>
      <c r="J225" s="3" t="s">
        <v>18</v>
      </c>
      <c r="K225" s="3">
        <v>941.43</v>
      </c>
      <c r="L225" s="3">
        <v>1</v>
      </c>
      <c r="M225" s="3">
        <v>226.12</v>
      </c>
      <c r="N225" s="3">
        <v>0.22</v>
      </c>
    </row>
    <row r="226" spans="3:14" ht="15" hidden="1" customHeight="1">
      <c r="C226" s="3" t="s">
        <v>137</v>
      </c>
      <c r="D226" s="25">
        <v>46013</v>
      </c>
      <c r="E226" s="3" t="s">
        <v>20</v>
      </c>
      <c r="F226" s="3" t="s">
        <v>14</v>
      </c>
      <c r="G226" s="3" t="s">
        <v>15</v>
      </c>
      <c r="H226" s="3" t="s">
        <v>138</v>
      </c>
      <c r="I226" s="3" t="s">
        <v>139</v>
      </c>
      <c r="J226" s="3" t="s">
        <v>35</v>
      </c>
      <c r="K226" s="3">
        <v>940.78</v>
      </c>
      <c r="L226" s="3">
        <v>5</v>
      </c>
      <c r="M226" s="3">
        <v>336.8</v>
      </c>
      <c r="N226" s="3">
        <v>0.12</v>
      </c>
    </row>
    <row r="227" spans="3:14" ht="15" hidden="1" customHeight="1">
      <c r="C227" s="3" t="s">
        <v>761</v>
      </c>
      <c r="D227" s="25">
        <v>45792</v>
      </c>
      <c r="E227" s="3" t="s">
        <v>28</v>
      </c>
      <c r="F227" s="3" t="s">
        <v>32</v>
      </c>
      <c r="G227" s="3" t="s">
        <v>15</v>
      </c>
      <c r="H227" s="3" t="s">
        <v>762</v>
      </c>
      <c r="I227" s="3" t="s">
        <v>763</v>
      </c>
      <c r="J227" s="3" t="s">
        <v>18</v>
      </c>
      <c r="K227" s="3">
        <v>940.01</v>
      </c>
      <c r="L227" s="3">
        <v>2</v>
      </c>
      <c r="M227" s="3">
        <v>216.92</v>
      </c>
      <c r="N227" s="3">
        <v>0.12</v>
      </c>
    </row>
    <row r="228" spans="3:14" ht="15" hidden="1" customHeight="1">
      <c r="C228" s="3" t="s">
        <v>89</v>
      </c>
      <c r="D228" s="25">
        <v>45658</v>
      </c>
      <c r="E228" s="3" t="s">
        <v>20</v>
      </c>
      <c r="F228" s="3" t="s">
        <v>32</v>
      </c>
      <c r="G228" s="3" t="s">
        <v>15</v>
      </c>
      <c r="H228" s="3" t="s">
        <v>90</v>
      </c>
      <c r="I228" s="3" t="s">
        <v>91</v>
      </c>
      <c r="J228" s="3" t="s">
        <v>39</v>
      </c>
      <c r="K228" s="3">
        <v>939.48</v>
      </c>
      <c r="L228" s="3">
        <v>2</v>
      </c>
      <c r="M228" s="3">
        <v>166.13</v>
      </c>
      <c r="N228" s="3">
        <v>0.04</v>
      </c>
    </row>
    <row r="229" spans="3:14" ht="15" hidden="1" customHeight="1">
      <c r="C229" s="3" t="s">
        <v>299</v>
      </c>
      <c r="D229" s="25">
        <v>45741</v>
      </c>
      <c r="E229" s="3" t="s">
        <v>20</v>
      </c>
      <c r="F229" s="3" t="s">
        <v>21</v>
      </c>
      <c r="G229" s="3" t="s">
        <v>15</v>
      </c>
      <c r="H229" s="3" t="s">
        <v>300</v>
      </c>
      <c r="I229" s="3" t="s">
        <v>301</v>
      </c>
      <c r="J229" s="3" t="s">
        <v>18</v>
      </c>
      <c r="K229" s="3">
        <v>933.32</v>
      </c>
      <c r="L229" s="3">
        <v>3</v>
      </c>
      <c r="M229" s="3">
        <v>310.8</v>
      </c>
      <c r="N229" s="3">
        <v>0.18</v>
      </c>
    </row>
    <row r="230" spans="3:14" ht="15" hidden="1" customHeight="1">
      <c r="C230" s="3" t="s">
        <v>266</v>
      </c>
      <c r="D230" s="25">
        <v>45841</v>
      </c>
      <c r="E230" s="3" t="s">
        <v>41</v>
      </c>
      <c r="F230" s="3" t="s">
        <v>32</v>
      </c>
      <c r="G230" s="3" t="s">
        <v>15</v>
      </c>
      <c r="H230" s="3" t="s">
        <v>267</v>
      </c>
      <c r="I230" s="3" t="s">
        <v>268</v>
      </c>
      <c r="J230" s="3" t="s">
        <v>18</v>
      </c>
      <c r="K230" s="3">
        <v>932.66</v>
      </c>
      <c r="L230" s="3">
        <v>1</v>
      </c>
      <c r="M230" s="3">
        <v>149.46</v>
      </c>
      <c r="N230" s="3">
        <v>0.11</v>
      </c>
    </row>
    <row r="231" spans="3:14" ht="15" hidden="1" customHeight="1">
      <c r="C231" s="3" t="s">
        <v>380</v>
      </c>
      <c r="D231" s="25">
        <v>45851</v>
      </c>
      <c r="E231" s="3" t="s">
        <v>13</v>
      </c>
      <c r="F231" s="3" t="s">
        <v>21</v>
      </c>
      <c r="G231" s="3" t="s">
        <v>15</v>
      </c>
      <c r="H231" s="3" t="s">
        <v>381</v>
      </c>
      <c r="I231" s="3" t="s">
        <v>382</v>
      </c>
      <c r="J231" s="3" t="s">
        <v>18</v>
      </c>
      <c r="K231" s="3">
        <v>930.28</v>
      </c>
      <c r="L231" s="3">
        <v>5</v>
      </c>
      <c r="M231" s="3">
        <v>190.31</v>
      </c>
      <c r="N231" s="3">
        <v>0.17</v>
      </c>
    </row>
    <row r="232" spans="3:14" ht="15" hidden="1" customHeight="1">
      <c r="C232" s="3" t="s">
        <v>254</v>
      </c>
      <c r="D232" s="25">
        <v>46011</v>
      </c>
      <c r="E232" s="3" t="s">
        <v>20</v>
      </c>
      <c r="F232" s="3" t="s">
        <v>21</v>
      </c>
      <c r="G232" s="3" t="s">
        <v>15</v>
      </c>
      <c r="H232" s="3" t="s">
        <v>255</v>
      </c>
      <c r="I232" s="3" t="s">
        <v>256</v>
      </c>
      <c r="J232" s="3" t="s">
        <v>39</v>
      </c>
      <c r="K232" s="3">
        <v>918.17</v>
      </c>
      <c r="L232" s="3">
        <v>9</v>
      </c>
      <c r="M232" s="3">
        <v>70.569999999999993</v>
      </c>
      <c r="N232" s="3">
        <v>0.2</v>
      </c>
    </row>
    <row r="233" spans="3:14" ht="15" hidden="1" customHeight="1">
      <c r="C233" s="3" t="s">
        <v>59</v>
      </c>
      <c r="D233" s="25">
        <v>45927</v>
      </c>
      <c r="E233" s="3" t="s">
        <v>28</v>
      </c>
      <c r="F233" s="3" t="s">
        <v>14</v>
      </c>
      <c r="G233" s="3" t="s">
        <v>15</v>
      </c>
      <c r="H233" s="3" t="s">
        <v>60</v>
      </c>
      <c r="I233" s="3" t="s">
        <v>61</v>
      </c>
      <c r="J233" s="3" t="s">
        <v>35</v>
      </c>
      <c r="K233" s="3">
        <v>913.99</v>
      </c>
      <c r="L233" s="3">
        <v>1</v>
      </c>
      <c r="M233" s="3">
        <v>324.67</v>
      </c>
      <c r="N233" s="3">
        <v>0.12</v>
      </c>
    </row>
    <row r="234" spans="3:14" ht="15" hidden="1" customHeight="1">
      <c r="C234" s="3" t="s">
        <v>749</v>
      </c>
      <c r="D234" s="25">
        <v>45964</v>
      </c>
      <c r="E234" s="3" t="s">
        <v>20</v>
      </c>
      <c r="F234" s="3" t="s">
        <v>21</v>
      </c>
      <c r="G234" s="3" t="s">
        <v>15</v>
      </c>
      <c r="H234" s="3" t="s">
        <v>750</v>
      </c>
      <c r="I234" s="3" t="s">
        <v>751</v>
      </c>
      <c r="J234" s="3" t="s">
        <v>39</v>
      </c>
      <c r="K234" s="3">
        <v>905.44</v>
      </c>
      <c r="L234" s="3">
        <v>2</v>
      </c>
      <c r="M234" s="3">
        <v>172.2</v>
      </c>
      <c r="N234" s="3">
        <v>0.15</v>
      </c>
    </row>
    <row r="235" spans="3:14" ht="15" hidden="1" customHeight="1">
      <c r="C235" s="3" t="s">
        <v>302</v>
      </c>
      <c r="D235" s="25">
        <v>45830</v>
      </c>
      <c r="E235" s="3" t="s">
        <v>13</v>
      </c>
      <c r="F235" s="3" t="s">
        <v>21</v>
      </c>
      <c r="G235" s="3" t="s">
        <v>15</v>
      </c>
      <c r="H235" s="3" t="s">
        <v>303</v>
      </c>
      <c r="I235" s="3" t="s">
        <v>304</v>
      </c>
      <c r="J235" s="3" t="s">
        <v>35</v>
      </c>
      <c r="K235" s="3">
        <v>900.38</v>
      </c>
      <c r="L235" s="3">
        <v>5</v>
      </c>
      <c r="M235" s="3">
        <v>68.72</v>
      </c>
      <c r="N235" s="3">
        <v>0.25</v>
      </c>
    </row>
    <row r="236" spans="3:14" ht="15" hidden="1" customHeight="1">
      <c r="C236" s="3" t="s">
        <v>185</v>
      </c>
      <c r="D236" s="25">
        <v>45994</v>
      </c>
      <c r="E236" s="3" t="s">
        <v>28</v>
      </c>
      <c r="F236" s="3" t="s">
        <v>14</v>
      </c>
      <c r="G236" s="3" t="s">
        <v>15</v>
      </c>
      <c r="H236" s="3" t="s">
        <v>186</v>
      </c>
      <c r="I236" s="3" t="s">
        <v>187</v>
      </c>
      <c r="J236" s="3" t="s">
        <v>39</v>
      </c>
      <c r="K236" s="3">
        <v>896.36</v>
      </c>
      <c r="L236" s="3">
        <v>6</v>
      </c>
      <c r="M236" s="3">
        <v>181.66</v>
      </c>
      <c r="N236" s="3">
        <v>0.16</v>
      </c>
    </row>
    <row r="237" spans="3:14" ht="15" hidden="1" customHeight="1">
      <c r="C237" s="3" t="s">
        <v>1172</v>
      </c>
      <c r="D237" s="25">
        <v>45854</v>
      </c>
      <c r="E237" s="3" t="s">
        <v>20</v>
      </c>
      <c r="F237" s="3" t="s">
        <v>32</v>
      </c>
      <c r="G237" s="3" t="s">
        <v>15</v>
      </c>
      <c r="H237" s="3" t="s">
        <v>1173</v>
      </c>
      <c r="I237" s="3" t="s">
        <v>1174</v>
      </c>
      <c r="J237" s="3" t="s">
        <v>18</v>
      </c>
      <c r="K237" s="3">
        <v>894.09</v>
      </c>
      <c r="L237" s="3">
        <v>6</v>
      </c>
      <c r="M237" s="3">
        <v>284.69</v>
      </c>
      <c r="N237" s="3">
        <v>0.15</v>
      </c>
    </row>
    <row r="238" spans="3:14" ht="15" customHeight="1">
      <c r="C238" s="3" t="s">
        <v>698</v>
      </c>
      <c r="D238" s="25">
        <v>45672</v>
      </c>
      <c r="E238" s="3" t="s">
        <v>28</v>
      </c>
      <c r="F238" s="3" t="s">
        <v>14</v>
      </c>
      <c r="G238" s="3" t="s">
        <v>15</v>
      </c>
      <c r="H238" s="3" t="s">
        <v>699</v>
      </c>
      <c r="I238" s="3" t="s">
        <v>700</v>
      </c>
      <c r="J238" s="3" t="s">
        <v>18</v>
      </c>
      <c r="K238" s="3">
        <v>890.72</v>
      </c>
      <c r="L238" s="3">
        <v>5</v>
      </c>
      <c r="M238" s="3">
        <v>298.42</v>
      </c>
      <c r="N238" s="3">
        <v>0.25</v>
      </c>
    </row>
    <row r="239" spans="3:14" ht="15" hidden="1" customHeight="1">
      <c r="C239" s="3" t="s">
        <v>524</v>
      </c>
      <c r="D239" s="25">
        <v>46016</v>
      </c>
      <c r="E239" s="3" t="s">
        <v>28</v>
      </c>
      <c r="F239" s="3" t="s">
        <v>32</v>
      </c>
      <c r="G239" s="3" t="s">
        <v>15</v>
      </c>
      <c r="H239" s="3" t="s">
        <v>525</v>
      </c>
      <c r="I239" s="3" t="s">
        <v>526</v>
      </c>
      <c r="J239" s="3" t="s">
        <v>18</v>
      </c>
      <c r="K239" s="3">
        <v>885.94</v>
      </c>
      <c r="L239" s="3">
        <v>3</v>
      </c>
      <c r="M239" s="3">
        <v>49.07</v>
      </c>
      <c r="N239" s="3">
        <v>0.1</v>
      </c>
    </row>
    <row r="240" spans="3:14" ht="15" customHeight="1">
      <c r="C240" s="3" t="s">
        <v>653</v>
      </c>
      <c r="D240" s="25">
        <v>45885</v>
      </c>
      <c r="E240" s="3" t="s">
        <v>20</v>
      </c>
      <c r="F240" s="3" t="s">
        <v>14</v>
      </c>
      <c r="G240" s="3" t="s">
        <v>15</v>
      </c>
      <c r="H240" s="3" t="s">
        <v>654</v>
      </c>
      <c r="I240" s="3" t="s">
        <v>655</v>
      </c>
      <c r="J240" s="3" t="s">
        <v>35</v>
      </c>
      <c r="K240" s="3">
        <v>880.01</v>
      </c>
      <c r="L240" s="3">
        <v>4</v>
      </c>
      <c r="M240" s="3">
        <v>218.58</v>
      </c>
      <c r="N240" s="3">
        <v>0.22</v>
      </c>
    </row>
    <row r="241" spans="3:14" ht="15" hidden="1" customHeight="1">
      <c r="C241" s="3" t="s">
        <v>1193</v>
      </c>
      <c r="D241" s="25">
        <v>45931</v>
      </c>
      <c r="E241" s="3" t="s">
        <v>41</v>
      </c>
      <c r="F241" s="3" t="s">
        <v>32</v>
      </c>
      <c r="G241" s="3" t="s">
        <v>15</v>
      </c>
      <c r="H241" s="3" t="s">
        <v>1194</v>
      </c>
      <c r="I241" s="3" t="s">
        <v>1195</v>
      </c>
      <c r="J241" s="3" t="s">
        <v>35</v>
      </c>
      <c r="K241" s="3">
        <v>877.94</v>
      </c>
      <c r="L241" s="3">
        <v>4</v>
      </c>
      <c r="M241" s="3">
        <v>53.13</v>
      </c>
      <c r="N241" s="3">
        <v>0.19</v>
      </c>
    </row>
    <row r="242" spans="3:14" ht="15" hidden="1" customHeight="1">
      <c r="C242" s="3" t="s">
        <v>713</v>
      </c>
      <c r="D242" s="25">
        <v>45718</v>
      </c>
      <c r="E242" s="3" t="s">
        <v>28</v>
      </c>
      <c r="F242" s="3" t="s">
        <v>32</v>
      </c>
      <c r="G242" s="3" t="s">
        <v>15</v>
      </c>
      <c r="H242" s="3" t="s">
        <v>714</v>
      </c>
      <c r="I242" s="3" t="s">
        <v>715</v>
      </c>
      <c r="J242" s="3" t="s">
        <v>39</v>
      </c>
      <c r="K242" s="3">
        <v>877.08</v>
      </c>
      <c r="L242" s="3">
        <v>8</v>
      </c>
      <c r="M242" s="3">
        <v>132.87</v>
      </c>
      <c r="N242" s="3">
        <v>0.04</v>
      </c>
    </row>
    <row r="243" spans="3:14" ht="15" hidden="1" customHeight="1">
      <c r="C243" s="3" t="s">
        <v>1022</v>
      </c>
      <c r="D243" s="25">
        <v>46017</v>
      </c>
      <c r="E243" s="3" t="s">
        <v>13</v>
      </c>
      <c r="F243" s="3" t="s">
        <v>32</v>
      </c>
      <c r="G243" s="3" t="s">
        <v>15</v>
      </c>
      <c r="H243" s="3" t="s">
        <v>1023</v>
      </c>
      <c r="I243" s="3" t="s">
        <v>1024</v>
      </c>
      <c r="J243" s="3" t="s">
        <v>39</v>
      </c>
      <c r="K243" s="3">
        <v>871.91</v>
      </c>
      <c r="L243" s="3">
        <v>5</v>
      </c>
      <c r="M243" s="3">
        <v>315.79000000000002</v>
      </c>
      <c r="N243" s="3">
        <v>0.28999999999999998</v>
      </c>
    </row>
    <row r="244" spans="3:14" ht="15" hidden="1" customHeight="1">
      <c r="C244" s="3" t="s">
        <v>1109</v>
      </c>
      <c r="D244" s="25">
        <v>45852</v>
      </c>
      <c r="E244" s="3" t="s">
        <v>28</v>
      </c>
      <c r="F244" s="3" t="s">
        <v>32</v>
      </c>
      <c r="G244" s="3" t="s">
        <v>15</v>
      </c>
      <c r="H244" s="3" t="s">
        <v>1110</v>
      </c>
      <c r="I244" s="3" t="s">
        <v>1111</v>
      </c>
      <c r="J244" s="3" t="s">
        <v>35</v>
      </c>
      <c r="K244" s="3">
        <v>865.98</v>
      </c>
      <c r="L244" s="3">
        <v>2</v>
      </c>
      <c r="M244" s="3">
        <v>87.84</v>
      </c>
      <c r="N244" s="3">
        <v>0.03</v>
      </c>
    </row>
    <row r="245" spans="3:14" ht="15" hidden="1" customHeight="1">
      <c r="C245" s="3" t="s">
        <v>896</v>
      </c>
      <c r="D245" s="25">
        <v>45828</v>
      </c>
      <c r="E245" s="3" t="s">
        <v>20</v>
      </c>
      <c r="F245" s="3" t="s">
        <v>21</v>
      </c>
      <c r="G245" s="3" t="s">
        <v>15</v>
      </c>
      <c r="H245" s="3" t="s">
        <v>897</v>
      </c>
      <c r="I245" s="3" t="s">
        <v>898</v>
      </c>
      <c r="J245" s="3" t="s">
        <v>35</v>
      </c>
      <c r="K245" s="3">
        <v>860.7</v>
      </c>
      <c r="L245" s="3">
        <v>1</v>
      </c>
      <c r="M245" s="3">
        <v>162.71</v>
      </c>
      <c r="N245" s="3">
        <v>0.04</v>
      </c>
    </row>
    <row r="246" spans="3:14" ht="15" hidden="1" customHeight="1">
      <c r="C246" s="3" t="s">
        <v>623</v>
      </c>
      <c r="D246" s="25">
        <v>45951</v>
      </c>
      <c r="E246" s="3" t="s">
        <v>28</v>
      </c>
      <c r="F246" s="3" t="s">
        <v>21</v>
      </c>
      <c r="G246" s="3" t="s">
        <v>15</v>
      </c>
      <c r="H246" s="3" t="s">
        <v>624</v>
      </c>
      <c r="I246" s="3" t="s">
        <v>625</v>
      </c>
      <c r="J246" s="3" t="s">
        <v>18</v>
      </c>
      <c r="K246" s="3">
        <v>857.24</v>
      </c>
      <c r="L246" s="3">
        <v>4</v>
      </c>
      <c r="M246" s="3">
        <v>199.66</v>
      </c>
      <c r="N246" s="3">
        <v>0.27</v>
      </c>
    </row>
    <row r="247" spans="3:14" ht="15" hidden="1" customHeight="1">
      <c r="C247" s="3" t="s">
        <v>995</v>
      </c>
      <c r="D247" s="25">
        <v>45796</v>
      </c>
      <c r="E247" s="3" t="s">
        <v>20</v>
      </c>
      <c r="F247" s="3" t="s">
        <v>32</v>
      </c>
      <c r="G247" s="3" t="s">
        <v>15</v>
      </c>
      <c r="H247" s="3" t="s">
        <v>996</v>
      </c>
      <c r="I247" s="3" t="s">
        <v>997</v>
      </c>
      <c r="J247" s="3" t="s">
        <v>18</v>
      </c>
      <c r="K247" s="3">
        <v>850.03</v>
      </c>
      <c r="L247" s="3">
        <v>3</v>
      </c>
      <c r="M247" s="3">
        <v>94.69</v>
      </c>
      <c r="N247" s="3">
        <v>0.06</v>
      </c>
    </row>
    <row r="248" spans="3:14" ht="15" customHeight="1">
      <c r="C248" s="3" t="s">
        <v>638</v>
      </c>
      <c r="D248" s="25">
        <v>45873</v>
      </c>
      <c r="E248" s="3" t="s">
        <v>13</v>
      </c>
      <c r="F248" s="3" t="s">
        <v>14</v>
      </c>
      <c r="G248" s="3" t="s">
        <v>15</v>
      </c>
      <c r="H248" s="3" t="s">
        <v>639</v>
      </c>
      <c r="I248" s="3" t="s">
        <v>640</v>
      </c>
      <c r="J248" s="3" t="s">
        <v>39</v>
      </c>
      <c r="K248" s="3">
        <v>846.34</v>
      </c>
      <c r="L248" s="3">
        <v>2</v>
      </c>
      <c r="M248" s="3">
        <v>295.55</v>
      </c>
      <c r="N248" s="3">
        <v>0.23</v>
      </c>
    </row>
    <row r="249" spans="3:14" ht="15" hidden="1" customHeight="1">
      <c r="C249" s="3" t="s">
        <v>1205</v>
      </c>
      <c r="D249" s="25">
        <v>45704</v>
      </c>
      <c r="E249" s="3" t="s">
        <v>13</v>
      </c>
      <c r="F249" s="3" t="s">
        <v>14</v>
      </c>
      <c r="G249" s="3" t="s">
        <v>15</v>
      </c>
      <c r="H249" s="3" t="s">
        <v>1206</v>
      </c>
      <c r="I249" s="3" t="s">
        <v>1207</v>
      </c>
      <c r="J249" s="3" t="s">
        <v>18</v>
      </c>
      <c r="K249" s="3">
        <v>845.46</v>
      </c>
      <c r="L249" s="3">
        <v>10</v>
      </c>
      <c r="M249" s="3">
        <v>172.33</v>
      </c>
      <c r="N249" s="3">
        <v>7.0000000000000007E-2</v>
      </c>
    </row>
    <row r="250" spans="3:14" ht="15" hidden="1" customHeight="1">
      <c r="C250" s="3" t="s">
        <v>1154</v>
      </c>
      <c r="D250" s="25">
        <v>45696</v>
      </c>
      <c r="E250" s="3" t="s">
        <v>20</v>
      </c>
      <c r="F250" s="3" t="s">
        <v>14</v>
      </c>
      <c r="G250" s="3" t="s">
        <v>15</v>
      </c>
      <c r="H250" s="3" t="s">
        <v>1155</v>
      </c>
      <c r="I250" s="3" t="s">
        <v>1156</v>
      </c>
      <c r="J250" s="3" t="s">
        <v>35</v>
      </c>
      <c r="K250" s="3">
        <v>838.89</v>
      </c>
      <c r="L250" s="3">
        <v>4</v>
      </c>
      <c r="M250" s="3">
        <v>160.82</v>
      </c>
      <c r="N250" s="3">
        <v>0.16</v>
      </c>
    </row>
    <row r="251" spans="3:14" ht="15" hidden="1" customHeight="1">
      <c r="C251" s="3" t="s">
        <v>893</v>
      </c>
      <c r="D251" s="25">
        <v>45799</v>
      </c>
      <c r="E251" s="3" t="s">
        <v>20</v>
      </c>
      <c r="F251" s="3" t="s">
        <v>14</v>
      </c>
      <c r="G251" s="3" t="s">
        <v>15</v>
      </c>
      <c r="H251" s="3" t="s">
        <v>894</v>
      </c>
      <c r="I251" s="3" t="s">
        <v>895</v>
      </c>
      <c r="J251" s="3" t="s">
        <v>35</v>
      </c>
      <c r="K251" s="3">
        <v>837.96</v>
      </c>
      <c r="L251" s="3">
        <v>6</v>
      </c>
      <c r="M251" s="3">
        <v>233.62</v>
      </c>
      <c r="N251" s="3">
        <v>0.19</v>
      </c>
    </row>
    <row r="252" spans="3:14" ht="15" hidden="1" customHeight="1">
      <c r="C252" s="3" t="s">
        <v>1013</v>
      </c>
      <c r="D252" s="25">
        <v>45912</v>
      </c>
      <c r="E252" s="3" t="s">
        <v>41</v>
      </c>
      <c r="F252" s="3" t="s">
        <v>21</v>
      </c>
      <c r="G252" s="3" t="s">
        <v>15</v>
      </c>
      <c r="H252" s="3" t="s">
        <v>1014</v>
      </c>
      <c r="I252" s="3" t="s">
        <v>1015</v>
      </c>
      <c r="J252" s="3" t="s">
        <v>39</v>
      </c>
      <c r="K252" s="3">
        <v>827.64</v>
      </c>
      <c r="L252" s="3">
        <v>1</v>
      </c>
      <c r="M252" s="3">
        <v>265.58</v>
      </c>
      <c r="N252" s="3">
        <v>0.25</v>
      </c>
    </row>
    <row r="253" spans="3:14" ht="15" hidden="1" customHeight="1">
      <c r="C253" s="3" t="s">
        <v>851</v>
      </c>
      <c r="D253" s="25">
        <v>45718</v>
      </c>
      <c r="E253" s="3" t="s">
        <v>13</v>
      </c>
      <c r="F253" s="3" t="s">
        <v>21</v>
      </c>
      <c r="G253" s="3" t="s">
        <v>15</v>
      </c>
      <c r="H253" s="3" t="s">
        <v>852</v>
      </c>
      <c r="I253" s="3" t="s">
        <v>853</v>
      </c>
      <c r="J253" s="3" t="s">
        <v>35</v>
      </c>
      <c r="K253" s="3">
        <v>824.11</v>
      </c>
      <c r="L253" s="3">
        <v>3</v>
      </c>
      <c r="M253" s="3">
        <v>145.34</v>
      </c>
      <c r="N253" s="3">
        <v>0.06</v>
      </c>
    </row>
    <row r="254" spans="3:14" ht="15" customHeight="1">
      <c r="C254" s="3" t="s">
        <v>683</v>
      </c>
      <c r="D254" s="25">
        <v>45855</v>
      </c>
      <c r="E254" s="3" t="s">
        <v>28</v>
      </c>
      <c r="F254" s="3" t="s">
        <v>14</v>
      </c>
      <c r="G254" s="3" t="s">
        <v>15</v>
      </c>
      <c r="H254" s="3" t="s">
        <v>684</v>
      </c>
      <c r="I254" s="3" t="s">
        <v>685</v>
      </c>
      <c r="J254" s="3" t="s">
        <v>18</v>
      </c>
      <c r="K254" s="3">
        <v>815.66</v>
      </c>
      <c r="L254" s="3">
        <v>4</v>
      </c>
      <c r="M254" s="3">
        <v>81.52</v>
      </c>
      <c r="N254" s="3">
        <v>0.23</v>
      </c>
    </row>
    <row r="255" spans="3:14" ht="15" hidden="1" customHeight="1">
      <c r="C255" s="3" t="s">
        <v>989</v>
      </c>
      <c r="D255" s="25">
        <v>45994</v>
      </c>
      <c r="E255" s="3" t="s">
        <v>28</v>
      </c>
      <c r="F255" s="3" t="s">
        <v>21</v>
      </c>
      <c r="G255" s="3" t="s">
        <v>15</v>
      </c>
      <c r="H255" s="3" t="s">
        <v>990</v>
      </c>
      <c r="I255" s="3" t="s">
        <v>991</v>
      </c>
      <c r="J255" s="3" t="s">
        <v>18</v>
      </c>
      <c r="K255" s="3">
        <v>811.73</v>
      </c>
      <c r="L255" s="3">
        <v>8</v>
      </c>
      <c r="M255" s="3">
        <v>49.91</v>
      </c>
      <c r="N255" s="3">
        <v>0</v>
      </c>
    </row>
    <row r="256" spans="3:14" ht="15" hidden="1" customHeight="1">
      <c r="C256" s="3" t="s">
        <v>296</v>
      </c>
      <c r="D256" s="25">
        <v>45919</v>
      </c>
      <c r="E256" s="3" t="s">
        <v>13</v>
      </c>
      <c r="F256" s="3" t="s">
        <v>14</v>
      </c>
      <c r="G256" s="3" t="s">
        <v>15</v>
      </c>
      <c r="H256" s="3" t="s">
        <v>297</v>
      </c>
      <c r="I256" s="3" t="s">
        <v>298</v>
      </c>
      <c r="J256" s="3" t="s">
        <v>39</v>
      </c>
      <c r="K256" s="3">
        <v>809.81</v>
      </c>
      <c r="L256" s="3">
        <v>6</v>
      </c>
      <c r="M256" s="3">
        <v>105.67</v>
      </c>
      <c r="N256" s="3">
        <v>0.19</v>
      </c>
    </row>
    <row r="257" spans="3:14" ht="15" hidden="1" customHeight="1">
      <c r="C257" s="3" t="s">
        <v>797</v>
      </c>
      <c r="D257" s="25">
        <v>45690</v>
      </c>
      <c r="E257" s="3" t="s">
        <v>20</v>
      </c>
      <c r="F257" s="3" t="s">
        <v>14</v>
      </c>
      <c r="G257" s="3" t="s">
        <v>15</v>
      </c>
      <c r="H257" s="3" t="s">
        <v>798</v>
      </c>
      <c r="I257" s="3" t="s">
        <v>799</v>
      </c>
      <c r="J257" s="3" t="s">
        <v>35</v>
      </c>
      <c r="K257" s="3">
        <v>805.06</v>
      </c>
      <c r="L257" s="3">
        <v>6</v>
      </c>
      <c r="M257" s="3">
        <v>202.78</v>
      </c>
      <c r="N257" s="3">
        <v>7.0000000000000007E-2</v>
      </c>
    </row>
    <row r="258" spans="3:14" ht="15" hidden="1" customHeight="1">
      <c r="C258" s="3" t="s">
        <v>968</v>
      </c>
      <c r="D258" s="25">
        <v>45714</v>
      </c>
      <c r="E258" s="3" t="s">
        <v>41</v>
      </c>
      <c r="F258" s="3" t="s">
        <v>14</v>
      </c>
      <c r="G258" s="3" t="s">
        <v>15</v>
      </c>
      <c r="H258" s="3" t="s">
        <v>969</v>
      </c>
      <c r="I258" s="3" t="s">
        <v>970</v>
      </c>
      <c r="J258" s="3" t="s">
        <v>39</v>
      </c>
      <c r="K258" s="3">
        <v>804.87</v>
      </c>
      <c r="L258" s="3">
        <v>2</v>
      </c>
      <c r="M258" s="3">
        <v>47.97</v>
      </c>
      <c r="N258" s="3">
        <v>0.1</v>
      </c>
    </row>
    <row r="259" spans="3:14" ht="15" hidden="1" customHeight="1">
      <c r="C259" s="3" t="s">
        <v>374</v>
      </c>
      <c r="D259" s="25">
        <v>45814</v>
      </c>
      <c r="E259" s="3" t="s">
        <v>13</v>
      </c>
      <c r="F259" s="3" t="s">
        <v>32</v>
      </c>
      <c r="G259" s="3" t="s">
        <v>15</v>
      </c>
      <c r="H259" s="3" t="s">
        <v>375</v>
      </c>
      <c r="I259" s="3" t="s">
        <v>376</v>
      </c>
      <c r="J259" s="3" t="s">
        <v>39</v>
      </c>
      <c r="K259" s="3">
        <v>801.5</v>
      </c>
      <c r="L259" s="3">
        <v>3</v>
      </c>
      <c r="M259" s="3">
        <v>294.83999999999997</v>
      </c>
      <c r="N259" s="3">
        <v>0.05</v>
      </c>
    </row>
    <row r="260" spans="3:14" ht="15" hidden="1" customHeight="1">
      <c r="C260" s="3" t="s">
        <v>1187</v>
      </c>
      <c r="D260" s="25">
        <v>45697</v>
      </c>
      <c r="E260" s="3" t="s">
        <v>13</v>
      </c>
      <c r="F260" s="3" t="s">
        <v>14</v>
      </c>
      <c r="G260" s="3" t="s">
        <v>15</v>
      </c>
      <c r="H260" s="3" t="s">
        <v>1188</v>
      </c>
      <c r="I260" s="3" t="s">
        <v>1189</v>
      </c>
      <c r="J260" s="3" t="s">
        <v>18</v>
      </c>
      <c r="K260" s="3">
        <v>793.65</v>
      </c>
      <c r="L260" s="3">
        <v>4</v>
      </c>
      <c r="M260" s="3">
        <v>312.67</v>
      </c>
      <c r="N260" s="3">
        <v>0.09</v>
      </c>
    </row>
    <row r="261" spans="3:14" ht="15" hidden="1" customHeight="1">
      <c r="C261" s="3" t="s">
        <v>308</v>
      </c>
      <c r="D261" s="25">
        <v>45720</v>
      </c>
      <c r="E261" s="3" t="s">
        <v>28</v>
      </c>
      <c r="F261" s="3" t="s">
        <v>14</v>
      </c>
      <c r="G261" s="3" t="s">
        <v>15</v>
      </c>
      <c r="H261" s="3" t="s">
        <v>309</v>
      </c>
      <c r="I261" s="3" t="s">
        <v>310</v>
      </c>
      <c r="J261" s="3" t="s">
        <v>18</v>
      </c>
      <c r="K261" s="3">
        <v>791.5</v>
      </c>
      <c r="L261" s="3">
        <v>7</v>
      </c>
      <c r="M261" s="3">
        <v>275.18</v>
      </c>
      <c r="N261" s="3">
        <v>0.11</v>
      </c>
    </row>
    <row r="262" spans="3:14" ht="15" customHeight="1">
      <c r="C262" s="3" t="s">
        <v>848</v>
      </c>
      <c r="D262" s="25">
        <v>45895</v>
      </c>
      <c r="E262" s="3" t="s">
        <v>28</v>
      </c>
      <c r="F262" s="3" t="s">
        <v>14</v>
      </c>
      <c r="G262" s="3" t="s">
        <v>15</v>
      </c>
      <c r="H262" s="3" t="s">
        <v>849</v>
      </c>
      <c r="I262" s="3" t="s">
        <v>850</v>
      </c>
      <c r="J262" s="3" t="s">
        <v>18</v>
      </c>
      <c r="K262" s="3">
        <v>788.54</v>
      </c>
      <c r="L262" s="3">
        <v>7</v>
      </c>
      <c r="M262" s="3">
        <v>281.13</v>
      </c>
      <c r="N262" s="3">
        <v>0.21</v>
      </c>
    </row>
    <row r="263" spans="3:14" ht="15" hidden="1" customHeight="1">
      <c r="C263" s="3" t="s">
        <v>95</v>
      </c>
      <c r="D263" s="25">
        <v>45721</v>
      </c>
      <c r="E263" s="3" t="s">
        <v>20</v>
      </c>
      <c r="F263" s="3" t="s">
        <v>21</v>
      </c>
      <c r="G263" s="3" t="s">
        <v>15</v>
      </c>
      <c r="H263" s="3" t="s">
        <v>96</v>
      </c>
      <c r="I263" s="3" t="s">
        <v>97</v>
      </c>
      <c r="J263" s="3" t="s">
        <v>18</v>
      </c>
      <c r="K263" s="3">
        <v>788.51</v>
      </c>
      <c r="L263" s="3">
        <v>8</v>
      </c>
      <c r="M263" s="3">
        <v>292.33</v>
      </c>
      <c r="N263" s="3">
        <v>0.03</v>
      </c>
    </row>
    <row r="264" spans="3:14" ht="15" hidden="1" customHeight="1">
      <c r="C264" s="3" t="s">
        <v>281</v>
      </c>
      <c r="D264" s="25">
        <v>45927</v>
      </c>
      <c r="E264" s="3" t="s">
        <v>28</v>
      </c>
      <c r="F264" s="3" t="s">
        <v>32</v>
      </c>
      <c r="G264" s="3" t="s">
        <v>15</v>
      </c>
      <c r="H264" s="3" t="s">
        <v>282</v>
      </c>
      <c r="I264" s="3" t="s">
        <v>283</v>
      </c>
      <c r="J264" s="3" t="s">
        <v>39</v>
      </c>
      <c r="K264" s="3">
        <v>787.83</v>
      </c>
      <c r="L264" s="3">
        <v>10</v>
      </c>
      <c r="M264" s="3">
        <v>292.73</v>
      </c>
      <c r="N264" s="3">
        <v>0.21</v>
      </c>
    </row>
    <row r="265" spans="3:14" ht="15" customHeight="1">
      <c r="C265" s="3" t="s">
        <v>494</v>
      </c>
      <c r="D265" s="25">
        <v>45894</v>
      </c>
      <c r="E265" s="3" t="s">
        <v>41</v>
      </c>
      <c r="F265" s="3" t="s">
        <v>14</v>
      </c>
      <c r="G265" s="3" t="s">
        <v>15</v>
      </c>
      <c r="H265" s="3" t="s">
        <v>495</v>
      </c>
      <c r="I265" s="3" t="s">
        <v>496</v>
      </c>
      <c r="J265" s="3" t="s">
        <v>18</v>
      </c>
      <c r="K265" s="3">
        <v>772.76</v>
      </c>
      <c r="L265" s="3">
        <v>8</v>
      </c>
      <c r="M265" s="3">
        <v>281.89</v>
      </c>
      <c r="N265" s="3">
        <v>0.26</v>
      </c>
    </row>
    <row r="266" spans="3:14" ht="15" hidden="1" customHeight="1">
      <c r="C266" s="3" t="s">
        <v>1163</v>
      </c>
      <c r="D266" s="25">
        <v>46013</v>
      </c>
      <c r="E266" s="3" t="s">
        <v>13</v>
      </c>
      <c r="F266" s="3" t="s">
        <v>32</v>
      </c>
      <c r="G266" s="3" t="s">
        <v>15</v>
      </c>
      <c r="H266" s="3" t="s">
        <v>1164</v>
      </c>
      <c r="I266" s="3" t="s">
        <v>1165</v>
      </c>
      <c r="J266" s="3" t="s">
        <v>39</v>
      </c>
      <c r="K266" s="3">
        <v>756.81</v>
      </c>
      <c r="L266" s="3">
        <v>4</v>
      </c>
      <c r="M266" s="3">
        <v>287.33999999999997</v>
      </c>
      <c r="N266" s="3">
        <v>0.03</v>
      </c>
    </row>
    <row r="267" spans="3:14" ht="15" customHeight="1">
      <c r="C267" s="3" t="s">
        <v>521</v>
      </c>
      <c r="D267" s="25">
        <v>45725</v>
      </c>
      <c r="E267" s="3" t="s">
        <v>13</v>
      </c>
      <c r="F267" s="3" t="s">
        <v>14</v>
      </c>
      <c r="G267" s="3" t="s">
        <v>15</v>
      </c>
      <c r="H267" s="3" t="s">
        <v>522</v>
      </c>
      <c r="I267" s="3" t="s">
        <v>523</v>
      </c>
      <c r="J267" s="3" t="s">
        <v>18</v>
      </c>
      <c r="K267" s="3">
        <v>754.84</v>
      </c>
      <c r="L267" s="3">
        <v>1</v>
      </c>
      <c r="M267" s="3">
        <v>214.17</v>
      </c>
      <c r="N267" s="3">
        <v>0.22</v>
      </c>
    </row>
    <row r="268" spans="3:14" ht="15" hidden="1" customHeight="1">
      <c r="C268" s="3" t="s">
        <v>806</v>
      </c>
      <c r="D268" s="25">
        <v>45829</v>
      </c>
      <c r="E268" s="3" t="s">
        <v>13</v>
      </c>
      <c r="F268" s="3" t="s">
        <v>21</v>
      </c>
      <c r="G268" s="3" t="s">
        <v>15</v>
      </c>
      <c r="H268" s="3" t="s">
        <v>807</v>
      </c>
      <c r="I268" s="3" t="s">
        <v>808</v>
      </c>
      <c r="J268" s="3" t="s">
        <v>35</v>
      </c>
      <c r="K268" s="3">
        <v>754.44</v>
      </c>
      <c r="L268" s="3">
        <v>2</v>
      </c>
      <c r="M268" s="3">
        <v>181.51</v>
      </c>
      <c r="N268" s="3">
        <v>0.09</v>
      </c>
    </row>
    <row r="269" spans="3:14" ht="15" hidden="1" customHeight="1">
      <c r="C269" s="3" t="s">
        <v>632</v>
      </c>
      <c r="D269" s="25">
        <v>45982</v>
      </c>
      <c r="E269" s="3" t="s">
        <v>41</v>
      </c>
      <c r="F269" s="3" t="s">
        <v>32</v>
      </c>
      <c r="G269" s="3" t="s">
        <v>15</v>
      </c>
      <c r="H269" s="3" t="s">
        <v>633</v>
      </c>
      <c r="I269" s="3" t="s">
        <v>634</v>
      </c>
      <c r="J269" s="3" t="s">
        <v>39</v>
      </c>
      <c r="K269" s="3">
        <v>752.32</v>
      </c>
      <c r="L269" s="3">
        <v>7</v>
      </c>
      <c r="M269" s="3">
        <v>226.46</v>
      </c>
      <c r="N269" s="3">
        <v>0.02</v>
      </c>
    </row>
    <row r="270" spans="3:14" ht="15" hidden="1" customHeight="1">
      <c r="C270" s="3" t="s">
        <v>65</v>
      </c>
      <c r="D270" s="25">
        <v>45986</v>
      </c>
      <c r="E270" s="3" t="s">
        <v>28</v>
      </c>
      <c r="F270" s="3" t="s">
        <v>21</v>
      </c>
      <c r="G270" s="3" t="s">
        <v>15</v>
      </c>
      <c r="H270" s="3" t="s">
        <v>66</v>
      </c>
      <c r="I270" s="3" t="s">
        <v>67</v>
      </c>
      <c r="J270" s="3" t="s">
        <v>18</v>
      </c>
      <c r="K270" s="3">
        <v>750.85</v>
      </c>
      <c r="L270" s="3">
        <v>5</v>
      </c>
      <c r="M270" s="3">
        <v>281.77</v>
      </c>
      <c r="N270" s="3">
        <v>0.12</v>
      </c>
    </row>
    <row r="271" spans="3:14" ht="15" hidden="1" customHeight="1">
      <c r="C271" s="3" t="s">
        <v>1034</v>
      </c>
      <c r="D271" s="25">
        <v>45921</v>
      </c>
      <c r="E271" s="3" t="s">
        <v>41</v>
      </c>
      <c r="F271" s="3" t="s">
        <v>14</v>
      </c>
      <c r="G271" s="3" t="s">
        <v>15</v>
      </c>
      <c r="H271" s="3" t="s">
        <v>1035</v>
      </c>
      <c r="I271" s="3" t="s">
        <v>1036</v>
      </c>
      <c r="J271" s="3" t="s">
        <v>18</v>
      </c>
      <c r="K271" s="3">
        <v>750.37</v>
      </c>
      <c r="L271" s="3">
        <v>8</v>
      </c>
      <c r="M271" s="3">
        <v>120.88</v>
      </c>
      <c r="N271" s="3">
        <v>0.13</v>
      </c>
    </row>
    <row r="272" spans="3:14" ht="15" hidden="1" customHeight="1">
      <c r="C272" s="3" t="s">
        <v>599</v>
      </c>
      <c r="D272" s="25">
        <v>45716</v>
      </c>
      <c r="E272" s="3" t="s">
        <v>20</v>
      </c>
      <c r="F272" s="3" t="s">
        <v>21</v>
      </c>
      <c r="G272" s="3" t="s">
        <v>15</v>
      </c>
      <c r="H272" s="3" t="s">
        <v>600</v>
      </c>
      <c r="I272" s="3" t="s">
        <v>601</v>
      </c>
      <c r="J272" s="3" t="s">
        <v>18</v>
      </c>
      <c r="K272" s="3">
        <v>748.41</v>
      </c>
      <c r="L272" s="3">
        <v>3</v>
      </c>
      <c r="M272" s="3">
        <v>50.82</v>
      </c>
      <c r="N272" s="3">
        <v>0.1</v>
      </c>
    </row>
    <row r="273" spans="3:14" ht="15" hidden="1" customHeight="1">
      <c r="C273" s="3" t="s">
        <v>224</v>
      </c>
      <c r="D273" s="25">
        <v>45870</v>
      </c>
      <c r="E273" s="3" t="s">
        <v>28</v>
      </c>
      <c r="F273" s="3" t="s">
        <v>21</v>
      </c>
      <c r="G273" s="3" t="s">
        <v>15</v>
      </c>
      <c r="H273" s="3" t="s">
        <v>225</v>
      </c>
      <c r="I273" s="3" t="s">
        <v>226</v>
      </c>
      <c r="J273" s="3" t="s">
        <v>39</v>
      </c>
      <c r="K273" s="3">
        <v>747.25</v>
      </c>
      <c r="L273" s="3">
        <v>7</v>
      </c>
      <c r="M273" s="3">
        <v>268.73</v>
      </c>
      <c r="N273" s="3">
        <v>0.13</v>
      </c>
    </row>
    <row r="274" spans="3:14" ht="15" hidden="1" customHeight="1">
      <c r="C274" s="3" t="s">
        <v>920</v>
      </c>
      <c r="D274" s="25">
        <v>45740</v>
      </c>
      <c r="E274" s="3" t="s">
        <v>13</v>
      </c>
      <c r="F274" s="3" t="s">
        <v>32</v>
      </c>
      <c r="G274" s="3" t="s">
        <v>15</v>
      </c>
      <c r="H274" s="3" t="s">
        <v>921</v>
      </c>
      <c r="I274" s="3" t="s">
        <v>922</v>
      </c>
      <c r="J274" s="3" t="s">
        <v>35</v>
      </c>
      <c r="K274" s="3">
        <v>746.88</v>
      </c>
      <c r="L274" s="3">
        <v>2</v>
      </c>
      <c r="M274" s="3">
        <v>278.83999999999997</v>
      </c>
      <c r="N274" s="3">
        <v>0.18</v>
      </c>
    </row>
    <row r="275" spans="3:14" ht="15" hidden="1" customHeight="1">
      <c r="C275" s="3" t="s">
        <v>260</v>
      </c>
      <c r="D275" s="25">
        <v>45815</v>
      </c>
      <c r="E275" s="3" t="s">
        <v>13</v>
      </c>
      <c r="F275" s="3" t="s">
        <v>21</v>
      </c>
      <c r="G275" s="3" t="s">
        <v>15</v>
      </c>
      <c r="H275" s="3" t="s">
        <v>261</v>
      </c>
      <c r="I275" s="3" t="s">
        <v>262</v>
      </c>
      <c r="J275" s="3" t="s">
        <v>18</v>
      </c>
      <c r="K275" s="3">
        <v>744.42</v>
      </c>
      <c r="L275" s="3">
        <v>2</v>
      </c>
      <c r="M275" s="3">
        <v>239.46</v>
      </c>
      <c r="N275" s="3">
        <v>0.12</v>
      </c>
    </row>
    <row r="276" spans="3:14" ht="15" hidden="1" customHeight="1">
      <c r="C276" s="3" t="s">
        <v>731</v>
      </c>
      <c r="D276" s="25">
        <v>45790</v>
      </c>
      <c r="E276" s="3" t="s">
        <v>13</v>
      </c>
      <c r="F276" s="3" t="s">
        <v>32</v>
      </c>
      <c r="G276" s="3" t="s">
        <v>15</v>
      </c>
      <c r="H276" s="3" t="s">
        <v>732</v>
      </c>
      <c r="I276" s="3" t="s">
        <v>733</v>
      </c>
      <c r="J276" s="3" t="s">
        <v>18</v>
      </c>
      <c r="K276" s="3">
        <v>742.44</v>
      </c>
      <c r="L276" s="3">
        <v>4</v>
      </c>
      <c r="M276" s="3">
        <v>219.15</v>
      </c>
      <c r="N276" s="3">
        <v>0.11</v>
      </c>
    </row>
    <row r="277" spans="3:14" ht="15" hidden="1" customHeight="1">
      <c r="C277" s="3" t="s">
        <v>62</v>
      </c>
      <c r="D277" s="25">
        <v>45834</v>
      </c>
      <c r="E277" s="3" t="s">
        <v>20</v>
      </c>
      <c r="F277" s="3" t="s">
        <v>32</v>
      </c>
      <c r="G277" s="3" t="s">
        <v>15</v>
      </c>
      <c r="H277" s="3" t="s">
        <v>63</v>
      </c>
      <c r="I277" s="3" t="s">
        <v>64</v>
      </c>
      <c r="J277" s="3" t="s">
        <v>35</v>
      </c>
      <c r="K277" s="3">
        <v>738.88</v>
      </c>
      <c r="L277" s="3">
        <v>7</v>
      </c>
      <c r="M277" s="3">
        <v>95.17</v>
      </c>
      <c r="N277" s="3">
        <v>0.27</v>
      </c>
    </row>
    <row r="278" spans="3:14" ht="15" hidden="1" customHeight="1">
      <c r="C278" s="3" t="s">
        <v>515</v>
      </c>
      <c r="D278" s="25">
        <v>46011</v>
      </c>
      <c r="E278" s="3" t="s">
        <v>41</v>
      </c>
      <c r="F278" s="3" t="s">
        <v>21</v>
      </c>
      <c r="G278" s="3" t="s">
        <v>15</v>
      </c>
      <c r="H278" s="3" t="s">
        <v>516</v>
      </c>
      <c r="I278" s="3" t="s">
        <v>517</v>
      </c>
      <c r="J278" s="3" t="s">
        <v>39</v>
      </c>
      <c r="K278" s="3">
        <v>738.23</v>
      </c>
      <c r="L278" s="3">
        <v>1</v>
      </c>
      <c r="M278" s="3">
        <v>169.55</v>
      </c>
      <c r="N278" s="3">
        <v>0.13</v>
      </c>
    </row>
    <row r="279" spans="3:14" ht="15" hidden="1" customHeight="1">
      <c r="C279" s="3" t="s">
        <v>980</v>
      </c>
      <c r="D279" s="25">
        <v>45928</v>
      </c>
      <c r="E279" s="3" t="s">
        <v>20</v>
      </c>
      <c r="F279" s="3" t="s">
        <v>21</v>
      </c>
      <c r="G279" s="3" t="s">
        <v>15</v>
      </c>
      <c r="H279" s="3" t="s">
        <v>981</v>
      </c>
      <c r="I279" s="3" t="s">
        <v>982</v>
      </c>
      <c r="J279" s="3" t="s">
        <v>35</v>
      </c>
      <c r="K279" s="3">
        <v>730.07</v>
      </c>
      <c r="L279" s="3">
        <v>5</v>
      </c>
      <c r="M279" s="3">
        <v>240.01</v>
      </c>
      <c r="N279" s="3">
        <v>0.1</v>
      </c>
    </row>
    <row r="280" spans="3:14" ht="15" hidden="1" customHeight="1">
      <c r="C280" s="3" t="s">
        <v>149</v>
      </c>
      <c r="D280" s="25">
        <v>45691</v>
      </c>
      <c r="E280" s="3" t="s">
        <v>20</v>
      </c>
      <c r="F280" s="3" t="s">
        <v>14</v>
      </c>
      <c r="G280" s="3" t="s">
        <v>15</v>
      </c>
      <c r="H280" s="3" t="s">
        <v>150</v>
      </c>
      <c r="I280" s="3" t="s">
        <v>151</v>
      </c>
      <c r="J280" s="3" t="s">
        <v>18</v>
      </c>
      <c r="K280" s="3">
        <v>728.73</v>
      </c>
      <c r="L280" s="3">
        <v>8</v>
      </c>
      <c r="M280" s="3">
        <v>158.99</v>
      </c>
      <c r="N280" s="3">
        <v>0.01</v>
      </c>
    </row>
    <row r="281" spans="3:14" ht="15" hidden="1" customHeight="1">
      <c r="C281" s="3" t="s">
        <v>341</v>
      </c>
      <c r="D281" s="25">
        <v>45936</v>
      </c>
      <c r="E281" s="3" t="s">
        <v>41</v>
      </c>
      <c r="F281" s="3" t="s">
        <v>21</v>
      </c>
      <c r="G281" s="3" t="s">
        <v>15</v>
      </c>
      <c r="H281" s="3" t="s">
        <v>342</v>
      </c>
      <c r="I281" s="3" t="s">
        <v>343</v>
      </c>
      <c r="J281" s="3" t="s">
        <v>39</v>
      </c>
      <c r="K281" s="3">
        <v>727.58</v>
      </c>
      <c r="L281" s="3">
        <v>9</v>
      </c>
      <c r="M281" s="3">
        <v>112.75</v>
      </c>
      <c r="N281" s="3">
        <v>0.02</v>
      </c>
    </row>
    <row r="282" spans="3:14" ht="15" customHeight="1">
      <c r="C282" s="3" t="s">
        <v>470</v>
      </c>
      <c r="D282" s="25">
        <v>45717</v>
      </c>
      <c r="E282" s="3" t="s">
        <v>28</v>
      </c>
      <c r="F282" s="3" t="s">
        <v>14</v>
      </c>
      <c r="G282" s="3" t="s">
        <v>15</v>
      </c>
      <c r="H282" s="3" t="s">
        <v>471</v>
      </c>
      <c r="I282" s="3" t="s">
        <v>472</v>
      </c>
      <c r="J282" s="3" t="s">
        <v>35</v>
      </c>
      <c r="K282" s="3">
        <v>720.75</v>
      </c>
      <c r="L282" s="3">
        <v>7</v>
      </c>
      <c r="M282" s="3">
        <v>67.44</v>
      </c>
      <c r="N282" s="3">
        <v>0.27</v>
      </c>
    </row>
    <row r="283" spans="3:14" ht="15" hidden="1" customHeight="1">
      <c r="C283" s="3" t="s">
        <v>626</v>
      </c>
      <c r="D283" s="25">
        <v>45877</v>
      </c>
      <c r="E283" s="3" t="s">
        <v>20</v>
      </c>
      <c r="F283" s="3" t="s">
        <v>14</v>
      </c>
      <c r="G283" s="3" t="s">
        <v>15</v>
      </c>
      <c r="H283" s="3" t="s">
        <v>627</v>
      </c>
      <c r="I283" s="3" t="s">
        <v>628</v>
      </c>
      <c r="J283" s="3" t="s">
        <v>18</v>
      </c>
      <c r="K283" s="3">
        <v>720.32</v>
      </c>
      <c r="L283" s="3">
        <v>3</v>
      </c>
      <c r="M283" s="3">
        <v>85.94</v>
      </c>
      <c r="N283" s="3">
        <v>0.03</v>
      </c>
    </row>
    <row r="284" spans="3:14" ht="15" hidden="1" customHeight="1">
      <c r="C284" s="3" t="s">
        <v>752</v>
      </c>
      <c r="D284" s="25">
        <v>45978</v>
      </c>
      <c r="E284" s="3" t="s">
        <v>13</v>
      </c>
      <c r="F284" s="3" t="s">
        <v>21</v>
      </c>
      <c r="G284" s="3" t="s">
        <v>15</v>
      </c>
      <c r="H284" s="3" t="s">
        <v>753</v>
      </c>
      <c r="I284" s="3" t="s">
        <v>754</v>
      </c>
      <c r="J284" s="3" t="s">
        <v>35</v>
      </c>
      <c r="K284" s="3">
        <v>718.47</v>
      </c>
      <c r="L284" s="3">
        <v>10</v>
      </c>
      <c r="M284" s="3">
        <v>141.68</v>
      </c>
      <c r="N284" s="3">
        <v>0.05</v>
      </c>
    </row>
    <row r="285" spans="3:14" ht="15" hidden="1" customHeight="1">
      <c r="C285" s="3" t="s">
        <v>668</v>
      </c>
      <c r="D285" s="25">
        <v>45701</v>
      </c>
      <c r="E285" s="3" t="s">
        <v>28</v>
      </c>
      <c r="F285" s="3" t="s">
        <v>32</v>
      </c>
      <c r="G285" s="3" t="s">
        <v>15</v>
      </c>
      <c r="H285" s="3" t="s">
        <v>669</v>
      </c>
      <c r="I285" s="3" t="s">
        <v>670</v>
      </c>
      <c r="J285" s="3" t="s">
        <v>35</v>
      </c>
      <c r="K285" s="3">
        <v>717.99</v>
      </c>
      <c r="L285" s="3">
        <v>8</v>
      </c>
      <c r="M285" s="3">
        <v>160.75</v>
      </c>
      <c r="N285" s="3">
        <v>7.0000000000000007E-2</v>
      </c>
    </row>
    <row r="286" spans="3:14" ht="15" hidden="1" customHeight="1">
      <c r="C286" s="3" t="s">
        <v>695</v>
      </c>
      <c r="D286" s="25">
        <v>45921</v>
      </c>
      <c r="E286" s="3" t="s">
        <v>28</v>
      </c>
      <c r="F286" s="3" t="s">
        <v>32</v>
      </c>
      <c r="G286" s="3" t="s">
        <v>15</v>
      </c>
      <c r="H286" s="3" t="s">
        <v>696</v>
      </c>
      <c r="I286" s="3" t="s">
        <v>697</v>
      </c>
      <c r="J286" s="3" t="s">
        <v>35</v>
      </c>
      <c r="K286" s="3">
        <v>715.62</v>
      </c>
      <c r="L286" s="3">
        <v>8</v>
      </c>
      <c r="M286" s="3">
        <v>177.87</v>
      </c>
      <c r="N286" s="3">
        <v>0.12</v>
      </c>
    </row>
    <row r="287" spans="3:14" ht="15" hidden="1" customHeight="1">
      <c r="C287" s="3" t="s">
        <v>941</v>
      </c>
      <c r="D287" s="25">
        <v>45939</v>
      </c>
      <c r="E287" s="3" t="s">
        <v>13</v>
      </c>
      <c r="F287" s="3" t="s">
        <v>32</v>
      </c>
      <c r="G287" s="3" t="s">
        <v>15</v>
      </c>
      <c r="H287" s="3" t="s">
        <v>942</v>
      </c>
      <c r="I287" s="3" t="s">
        <v>943</v>
      </c>
      <c r="J287" s="3" t="s">
        <v>39</v>
      </c>
      <c r="K287" s="3">
        <v>714.46</v>
      </c>
      <c r="L287" s="3">
        <v>3</v>
      </c>
      <c r="M287" s="3">
        <v>168.81</v>
      </c>
      <c r="N287" s="3">
        <v>0.14000000000000001</v>
      </c>
    </row>
    <row r="288" spans="3:14" ht="15" hidden="1" customHeight="1">
      <c r="C288" s="3" t="s">
        <v>27</v>
      </c>
      <c r="D288" s="25">
        <v>45658</v>
      </c>
      <c r="E288" s="3" t="s">
        <v>28</v>
      </c>
      <c r="F288" s="3" t="s">
        <v>14</v>
      </c>
      <c r="G288" s="3" t="s">
        <v>15</v>
      </c>
      <c r="H288" s="3" t="s">
        <v>29</v>
      </c>
      <c r="I288" s="3" t="s">
        <v>30</v>
      </c>
      <c r="J288" s="3" t="s">
        <v>18</v>
      </c>
      <c r="K288" s="3">
        <v>713.06</v>
      </c>
      <c r="L288" s="3">
        <v>1</v>
      </c>
      <c r="M288" s="3">
        <v>186.05</v>
      </c>
      <c r="N288" s="3">
        <v>0.1</v>
      </c>
    </row>
    <row r="289" spans="3:14" ht="15" hidden="1" customHeight="1">
      <c r="C289" s="3" t="s">
        <v>497</v>
      </c>
      <c r="D289" s="25">
        <v>45744</v>
      </c>
      <c r="E289" s="3" t="s">
        <v>20</v>
      </c>
      <c r="F289" s="3" t="s">
        <v>21</v>
      </c>
      <c r="G289" s="3" t="s">
        <v>15</v>
      </c>
      <c r="H289" s="3" t="s">
        <v>498</v>
      </c>
      <c r="I289" s="3" t="s">
        <v>499</v>
      </c>
      <c r="J289" s="3" t="s">
        <v>39</v>
      </c>
      <c r="K289" s="3">
        <v>706.83</v>
      </c>
      <c r="L289" s="3">
        <v>5</v>
      </c>
      <c r="M289" s="3">
        <v>65.959999999999994</v>
      </c>
      <c r="N289" s="3">
        <v>0.04</v>
      </c>
    </row>
    <row r="290" spans="3:14" ht="15" customHeight="1">
      <c r="C290" s="3" t="s">
        <v>755</v>
      </c>
      <c r="D290" s="25">
        <v>45968</v>
      </c>
      <c r="E290" s="3" t="s">
        <v>20</v>
      </c>
      <c r="F290" s="3" t="s">
        <v>14</v>
      </c>
      <c r="G290" s="3" t="s">
        <v>15</v>
      </c>
      <c r="H290" s="3" t="s">
        <v>756</v>
      </c>
      <c r="I290" s="3" t="s">
        <v>757</v>
      </c>
      <c r="J290" s="3" t="s">
        <v>35</v>
      </c>
      <c r="K290" s="3">
        <v>700.57</v>
      </c>
      <c r="L290" s="3">
        <v>3</v>
      </c>
      <c r="M290" s="3">
        <v>144.38</v>
      </c>
      <c r="N290" s="3">
        <v>0.28000000000000003</v>
      </c>
    </row>
    <row r="291" spans="3:14" ht="15" hidden="1" customHeight="1">
      <c r="C291" s="3" t="s">
        <v>434</v>
      </c>
      <c r="D291" s="25">
        <v>45697</v>
      </c>
      <c r="E291" s="3" t="s">
        <v>20</v>
      </c>
      <c r="F291" s="3" t="s">
        <v>32</v>
      </c>
      <c r="G291" s="3" t="s">
        <v>15</v>
      </c>
      <c r="H291" s="3" t="s">
        <v>435</v>
      </c>
      <c r="I291" s="3" t="s">
        <v>436</v>
      </c>
      <c r="J291" s="3" t="s">
        <v>35</v>
      </c>
      <c r="K291" s="3">
        <v>698.18</v>
      </c>
      <c r="L291" s="3">
        <v>4</v>
      </c>
      <c r="M291" s="3">
        <v>37.46</v>
      </c>
      <c r="N291" s="3">
        <v>0.01</v>
      </c>
    </row>
    <row r="292" spans="3:14" ht="15" hidden="1" customHeight="1">
      <c r="C292" s="3" t="s">
        <v>722</v>
      </c>
      <c r="D292" s="25">
        <v>45691</v>
      </c>
      <c r="E292" s="3" t="s">
        <v>28</v>
      </c>
      <c r="F292" s="3" t="s">
        <v>32</v>
      </c>
      <c r="G292" s="3" t="s">
        <v>15</v>
      </c>
      <c r="H292" s="3" t="s">
        <v>723</v>
      </c>
      <c r="I292" s="3" t="s">
        <v>724</v>
      </c>
      <c r="J292" s="3" t="s">
        <v>18</v>
      </c>
      <c r="K292" s="3">
        <v>687.31</v>
      </c>
      <c r="L292" s="3">
        <v>5</v>
      </c>
      <c r="M292" s="3">
        <v>246.9</v>
      </c>
      <c r="N292" s="3">
        <v>0.19</v>
      </c>
    </row>
    <row r="293" spans="3:14" ht="15" hidden="1" customHeight="1">
      <c r="C293" s="3" t="s">
        <v>74</v>
      </c>
      <c r="D293" s="25">
        <v>45716</v>
      </c>
      <c r="E293" s="3" t="s">
        <v>41</v>
      </c>
      <c r="F293" s="3" t="s">
        <v>32</v>
      </c>
      <c r="G293" s="3" t="s">
        <v>15</v>
      </c>
      <c r="H293" s="3" t="s">
        <v>75</v>
      </c>
      <c r="I293" s="3" t="s">
        <v>76</v>
      </c>
      <c r="J293" s="3" t="s">
        <v>35</v>
      </c>
      <c r="K293" s="3">
        <v>686.09</v>
      </c>
      <c r="L293" s="3">
        <v>6</v>
      </c>
      <c r="M293" s="3">
        <v>105.82</v>
      </c>
      <c r="N293" s="3">
        <v>0.13</v>
      </c>
    </row>
    <row r="294" spans="3:14" ht="15" hidden="1" customHeight="1">
      <c r="C294" s="3" t="s">
        <v>170</v>
      </c>
      <c r="D294" s="25">
        <v>45733</v>
      </c>
      <c r="E294" s="3" t="s">
        <v>28</v>
      </c>
      <c r="F294" s="3" t="s">
        <v>21</v>
      </c>
      <c r="G294" s="3" t="s">
        <v>15</v>
      </c>
      <c r="H294" s="3" t="s">
        <v>171</v>
      </c>
      <c r="I294" s="3" t="s">
        <v>172</v>
      </c>
      <c r="J294" s="3" t="s">
        <v>39</v>
      </c>
      <c r="K294" s="3">
        <v>683.02</v>
      </c>
      <c r="L294" s="3">
        <v>4</v>
      </c>
      <c r="M294" s="3">
        <v>44.56</v>
      </c>
      <c r="N294" s="3">
        <v>0.17</v>
      </c>
    </row>
    <row r="295" spans="3:14" ht="15" hidden="1" customHeight="1">
      <c r="C295" s="3" t="s">
        <v>965</v>
      </c>
      <c r="D295" s="25">
        <v>45884</v>
      </c>
      <c r="E295" s="3" t="s">
        <v>13</v>
      </c>
      <c r="F295" s="3" t="s">
        <v>14</v>
      </c>
      <c r="G295" s="3" t="s">
        <v>15</v>
      </c>
      <c r="H295" s="3" t="s">
        <v>966</v>
      </c>
      <c r="I295" s="3" t="s">
        <v>967</v>
      </c>
      <c r="J295" s="3" t="s">
        <v>18</v>
      </c>
      <c r="K295" s="3">
        <v>678.44</v>
      </c>
      <c r="L295" s="3">
        <v>2</v>
      </c>
      <c r="M295" s="3">
        <v>245.36</v>
      </c>
      <c r="N295" s="3">
        <v>0.18</v>
      </c>
    </row>
    <row r="296" spans="3:14" ht="15" hidden="1" customHeight="1">
      <c r="C296" s="3" t="s">
        <v>227</v>
      </c>
      <c r="D296" s="25">
        <v>45766</v>
      </c>
      <c r="E296" s="3" t="s">
        <v>28</v>
      </c>
      <c r="F296" s="3" t="s">
        <v>21</v>
      </c>
      <c r="G296" s="3" t="s">
        <v>15</v>
      </c>
      <c r="H296" s="3" t="s">
        <v>228</v>
      </c>
      <c r="I296" s="3" t="s">
        <v>229</v>
      </c>
      <c r="J296" s="3" t="s">
        <v>18</v>
      </c>
      <c r="K296" s="3">
        <v>675.05</v>
      </c>
      <c r="L296" s="3">
        <v>10</v>
      </c>
      <c r="M296" s="3">
        <v>184.81</v>
      </c>
      <c r="N296" s="3">
        <v>0.08</v>
      </c>
    </row>
    <row r="297" spans="3:14" ht="15" hidden="1" customHeight="1">
      <c r="C297" s="3" t="s">
        <v>1148</v>
      </c>
      <c r="D297" s="25">
        <v>45971</v>
      </c>
      <c r="E297" s="3" t="s">
        <v>13</v>
      </c>
      <c r="F297" s="3" t="s">
        <v>21</v>
      </c>
      <c r="G297" s="3" t="s">
        <v>15</v>
      </c>
      <c r="H297" s="3" t="s">
        <v>1149</v>
      </c>
      <c r="I297" s="3" t="s">
        <v>1150</v>
      </c>
      <c r="J297" s="3" t="s">
        <v>18</v>
      </c>
      <c r="K297" s="3">
        <v>658.73</v>
      </c>
      <c r="L297" s="3">
        <v>6</v>
      </c>
      <c r="M297" s="3">
        <v>239.8</v>
      </c>
      <c r="N297" s="3">
        <v>0.08</v>
      </c>
    </row>
    <row r="298" spans="3:14" ht="15" hidden="1" customHeight="1">
      <c r="C298" s="3" t="s">
        <v>36</v>
      </c>
      <c r="D298" s="25">
        <v>45975</v>
      </c>
      <c r="E298" s="3" t="s">
        <v>28</v>
      </c>
      <c r="F298" s="3" t="s">
        <v>14</v>
      </c>
      <c r="G298" s="3" t="s">
        <v>15</v>
      </c>
      <c r="H298" s="3" t="s">
        <v>37</v>
      </c>
      <c r="I298" s="3" t="s">
        <v>38</v>
      </c>
      <c r="J298" s="3" t="s">
        <v>39</v>
      </c>
      <c r="K298" s="3">
        <v>652.03</v>
      </c>
      <c r="L298" s="3">
        <v>5</v>
      </c>
      <c r="M298" s="3">
        <v>260.8</v>
      </c>
      <c r="N298" s="3">
        <v>0.17</v>
      </c>
    </row>
    <row r="299" spans="3:14" ht="15" hidden="1" customHeight="1">
      <c r="C299" s="3" t="s">
        <v>779</v>
      </c>
      <c r="D299" s="25">
        <v>45855</v>
      </c>
      <c r="E299" s="3" t="s">
        <v>13</v>
      </c>
      <c r="F299" s="3" t="s">
        <v>32</v>
      </c>
      <c r="G299" s="3" t="s">
        <v>15</v>
      </c>
      <c r="H299" s="3" t="s">
        <v>780</v>
      </c>
      <c r="I299" s="3" t="s">
        <v>781</v>
      </c>
      <c r="J299" s="3" t="s">
        <v>39</v>
      </c>
      <c r="K299" s="3">
        <v>649.97</v>
      </c>
      <c r="L299" s="3">
        <v>7</v>
      </c>
      <c r="M299" s="3">
        <v>221.33</v>
      </c>
      <c r="N299" s="3">
        <v>0.28000000000000003</v>
      </c>
    </row>
    <row r="300" spans="3:14" ht="15" customHeight="1">
      <c r="C300" s="3" t="s">
        <v>1214</v>
      </c>
      <c r="D300" s="25">
        <v>45664</v>
      </c>
      <c r="E300" s="3" t="s">
        <v>41</v>
      </c>
      <c r="F300" s="3" t="s">
        <v>14</v>
      </c>
      <c r="G300" s="3" t="s">
        <v>15</v>
      </c>
      <c r="H300" s="3" t="s">
        <v>1215</v>
      </c>
      <c r="I300" s="3" t="s">
        <v>1216</v>
      </c>
      <c r="J300" s="3" t="s">
        <v>35</v>
      </c>
      <c r="K300" s="3">
        <v>642.26</v>
      </c>
      <c r="L300" s="3">
        <v>4</v>
      </c>
      <c r="M300" s="3">
        <v>216.4</v>
      </c>
      <c r="N300" s="3">
        <v>0.24</v>
      </c>
    </row>
    <row r="301" spans="3:14" ht="15" hidden="1" customHeight="1">
      <c r="C301" s="3" t="s">
        <v>884</v>
      </c>
      <c r="D301" s="25">
        <v>45881</v>
      </c>
      <c r="E301" s="3" t="s">
        <v>13</v>
      </c>
      <c r="F301" s="3" t="s">
        <v>14</v>
      </c>
      <c r="G301" s="3" t="s">
        <v>15</v>
      </c>
      <c r="H301" s="3" t="s">
        <v>885</v>
      </c>
      <c r="I301" s="3" t="s">
        <v>886</v>
      </c>
      <c r="J301" s="3" t="s">
        <v>35</v>
      </c>
      <c r="K301" s="3">
        <v>640.55999999999995</v>
      </c>
      <c r="L301" s="3">
        <v>9</v>
      </c>
      <c r="M301" s="3">
        <v>137.06</v>
      </c>
      <c r="N301" s="3">
        <v>0.04</v>
      </c>
    </row>
    <row r="302" spans="3:14" ht="15" hidden="1" customHeight="1">
      <c r="C302" s="3" t="s">
        <v>737</v>
      </c>
      <c r="D302" s="25">
        <v>45669</v>
      </c>
      <c r="E302" s="3" t="s">
        <v>20</v>
      </c>
      <c r="F302" s="3" t="s">
        <v>32</v>
      </c>
      <c r="G302" s="3" t="s">
        <v>15</v>
      </c>
      <c r="H302" s="3" t="s">
        <v>738</v>
      </c>
      <c r="I302" s="3" t="s">
        <v>739</v>
      </c>
      <c r="J302" s="3" t="s">
        <v>39</v>
      </c>
      <c r="K302" s="3">
        <v>639.70000000000005</v>
      </c>
      <c r="L302" s="3">
        <v>5</v>
      </c>
      <c r="M302" s="3">
        <v>71.83</v>
      </c>
      <c r="N302" s="3">
        <v>0.09</v>
      </c>
    </row>
    <row r="303" spans="3:14" ht="15" hidden="1" customHeight="1">
      <c r="C303" s="3" t="s">
        <v>1046</v>
      </c>
      <c r="D303" s="25">
        <v>45711</v>
      </c>
      <c r="E303" s="3" t="s">
        <v>20</v>
      </c>
      <c r="F303" s="3" t="s">
        <v>32</v>
      </c>
      <c r="G303" s="3" t="s">
        <v>15</v>
      </c>
      <c r="H303" s="3" t="s">
        <v>1047</v>
      </c>
      <c r="I303" s="3" t="s">
        <v>1048</v>
      </c>
      <c r="J303" s="3" t="s">
        <v>35</v>
      </c>
      <c r="K303" s="3">
        <v>629.49</v>
      </c>
      <c r="L303" s="3">
        <v>4</v>
      </c>
      <c r="M303" s="3">
        <v>243.63</v>
      </c>
      <c r="N303" s="3">
        <v>0.12</v>
      </c>
    </row>
    <row r="304" spans="3:14" ht="15" hidden="1" customHeight="1">
      <c r="C304" s="3" t="s">
        <v>662</v>
      </c>
      <c r="D304" s="25">
        <v>46011</v>
      </c>
      <c r="E304" s="3" t="s">
        <v>20</v>
      </c>
      <c r="F304" s="3" t="s">
        <v>14</v>
      </c>
      <c r="G304" s="3" t="s">
        <v>15</v>
      </c>
      <c r="H304" s="3" t="s">
        <v>663</v>
      </c>
      <c r="I304" s="3" t="s">
        <v>664</v>
      </c>
      <c r="J304" s="3" t="s">
        <v>39</v>
      </c>
      <c r="K304" s="3">
        <v>622.79999999999995</v>
      </c>
      <c r="L304" s="3">
        <v>4</v>
      </c>
      <c r="M304" s="3">
        <v>66.319999999999993</v>
      </c>
      <c r="N304" s="3">
        <v>0.1</v>
      </c>
    </row>
    <row r="305" spans="3:14" ht="15" hidden="1" customHeight="1">
      <c r="C305" s="3" t="s">
        <v>1112</v>
      </c>
      <c r="D305" s="25">
        <v>45718</v>
      </c>
      <c r="E305" s="3" t="s">
        <v>20</v>
      </c>
      <c r="F305" s="3" t="s">
        <v>21</v>
      </c>
      <c r="G305" s="3" t="s">
        <v>15</v>
      </c>
      <c r="H305" s="3" t="s">
        <v>1113</v>
      </c>
      <c r="I305" s="3" t="s">
        <v>1114</v>
      </c>
      <c r="J305" s="3" t="s">
        <v>39</v>
      </c>
      <c r="K305" s="3">
        <v>614.65</v>
      </c>
      <c r="L305" s="3">
        <v>6</v>
      </c>
      <c r="M305" s="3">
        <v>168.88</v>
      </c>
      <c r="N305" s="3">
        <v>0.21</v>
      </c>
    </row>
    <row r="306" spans="3:14" ht="15" hidden="1" customHeight="1">
      <c r="C306" s="3" t="s">
        <v>647</v>
      </c>
      <c r="D306" s="25">
        <v>45717</v>
      </c>
      <c r="E306" s="3" t="s">
        <v>28</v>
      </c>
      <c r="F306" s="3" t="s">
        <v>32</v>
      </c>
      <c r="G306" s="3" t="s">
        <v>15</v>
      </c>
      <c r="H306" s="3" t="s">
        <v>648</v>
      </c>
      <c r="I306" s="3" t="s">
        <v>649</v>
      </c>
      <c r="J306" s="3" t="s">
        <v>35</v>
      </c>
      <c r="K306" s="3">
        <v>611.26</v>
      </c>
      <c r="L306" s="3">
        <v>10</v>
      </c>
      <c r="M306" s="3">
        <v>154.32</v>
      </c>
      <c r="N306" s="3">
        <v>0.03</v>
      </c>
    </row>
    <row r="307" spans="3:14" ht="15" hidden="1" customHeight="1">
      <c r="C307" s="3" t="s">
        <v>512</v>
      </c>
      <c r="D307" s="25">
        <v>45852</v>
      </c>
      <c r="E307" s="3" t="s">
        <v>20</v>
      </c>
      <c r="F307" s="3" t="s">
        <v>21</v>
      </c>
      <c r="G307" s="3" t="s">
        <v>15</v>
      </c>
      <c r="H307" s="3" t="s">
        <v>513</v>
      </c>
      <c r="I307" s="3" t="s">
        <v>514</v>
      </c>
      <c r="J307" s="3" t="s">
        <v>18</v>
      </c>
      <c r="K307" s="3">
        <v>607.11</v>
      </c>
      <c r="L307" s="3">
        <v>7</v>
      </c>
      <c r="M307" s="3">
        <v>179.03</v>
      </c>
      <c r="N307" s="3">
        <v>0.22</v>
      </c>
    </row>
    <row r="308" spans="3:14" ht="15" hidden="1" customHeight="1">
      <c r="C308" s="3" t="s">
        <v>1028</v>
      </c>
      <c r="D308" s="25">
        <v>45680</v>
      </c>
      <c r="E308" s="3" t="s">
        <v>41</v>
      </c>
      <c r="F308" s="3" t="s">
        <v>21</v>
      </c>
      <c r="G308" s="3" t="s">
        <v>15</v>
      </c>
      <c r="H308" s="3" t="s">
        <v>1029</v>
      </c>
      <c r="I308" s="3" t="s">
        <v>1030</v>
      </c>
      <c r="J308" s="3" t="s">
        <v>39</v>
      </c>
      <c r="K308" s="3">
        <v>602.12</v>
      </c>
      <c r="L308" s="3">
        <v>5</v>
      </c>
      <c r="M308" s="3">
        <v>34.340000000000003</v>
      </c>
      <c r="N308" s="3">
        <v>0.13</v>
      </c>
    </row>
    <row r="309" spans="3:14" ht="15" hidden="1" customHeight="1">
      <c r="C309" s="3" t="s">
        <v>1190</v>
      </c>
      <c r="D309" s="25">
        <v>46016</v>
      </c>
      <c r="E309" s="3" t="s">
        <v>28</v>
      </c>
      <c r="F309" s="3" t="s">
        <v>21</v>
      </c>
      <c r="G309" s="3" t="s">
        <v>15</v>
      </c>
      <c r="H309" s="3" t="s">
        <v>1191</v>
      </c>
      <c r="I309" s="3" t="s">
        <v>1192</v>
      </c>
      <c r="J309" s="3" t="s">
        <v>18</v>
      </c>
      <c r="K309" s="3">
        <v>582.22</v>
      </c>
      <c r="L309" s="3">
        <v>10</v>
      </c>
      <c r="M309" s="3">
        <v>164.4</v>
      </c>
      <c r="N309" s="3">
        <v>0.09</v>
      </c>
    </row>
    <row r="310" spans="3:14" ht="15" hidden="1" customHeight="1">
      <c r="C310" s="3" t="s">
        <v>905</v>
      </c>
      <c r="D310" s="25">
        <v>45736</v>
      </c>
      <c r="E310" s="3" t="s">
        <v>41</v>
      </c>
      <c r="F310" s="3" t="s">
        <v>21</v>
      </c>
      <c r="G310" s="3" t="s">
        <v>15</v>
      </c>
      <c r="H310" s="3" t="s">
        <v>906</v>
      </c>
      <c r="I310" s="3" t="s">
        <v>907</v>
      </c>
      <c r="J310" s="3" t="s">
        <v>39</v>
      </c>
      <c r="K310" s="3">
        <v>576.21</v>
      </c>
      <c r="L310" s="3">
        <v>6</v>
      </c>
      <c r="M310" s="3">
        <v>188.76</v>
      </c>
      <c r="N310" s="3">
        <v>0.16</v>
      </c>
    </row>
    <row r="311" spans="3:14" ht="15" hidden="1" customHeight="1">
      <c r="C311" s="3" t="s">
        <v>323</v>
      </c>
      <c r="D311" s="25">
        <v>45862</v>
      </c>
      <c r="E311" s="3" t="s">
        <v>28</v>
      </c>
      <c r="F311" s="3" t="s">
        <v>14</v>
      </c>
      <c r="G311" s="3" t="s">
        <v>15</v>
      </c>
      <c r="H311" s="3" t="s">
        <v>324</v>
      </c>
      <c r="I311" s="3" t="s">
        <v>325</v>
      </c>
      <c r="J311" s="3" t="s">
        <v>35</v>
      </c>
      <c r="K311" s="3">
        <v>573.94000000000005</v>
      </c>
      <c r="L311" s="3">
        <v>10</v>
      </c>
      <c r="M311" s="3">
        <v>174.95</v>
      </c>
      <c r="N311" s="3">
        <v>7.0000000000000007E-2</v>
      </c>
    </row>
    <row r="312" spans="3:14" ht="15" customHeight="1">
      <c r="C312" s="3" t="s">
        <v>1064</v>
      </c>
      <c r="D312" s="25">
        <v>45989</v>
      </c>
      <c r="E312" s="3" t="s">
        <v>13</v>
      </c>
      <c r="F312" s="3" t="s">
        <v>14</v>
      </c>
      <c r="G312" s="3" t="s">
        <v>15</v>
      </c>
      <c r="H312" s="3" t="s">
        <v>1065</v>
      </c>
      <c r="I312" s="3" t="s">
        <v>1066</v>
      </c>
      <c r="J312" s="3" t="s">
        <v>39</v>
      </c>
      <c r="K312" s="3">
        <v>570.75</v>
      </c>
      <c r="L312" s="3">
        <v>9</v>
      </c>
      <c r="M312" s="3">
        <v>97.68</v>
      </c>
      <c r="N312" s="3">
        <v>0.21</v>
      </c>
    </row>
    <row r="313" spans="3:14" ht="15" hidden="1" customHeight="1">
      <c r="C313" s="3" t="s">
        <v>560</v>
      </c>
      <c r="D313" s="25">
        <v>45701</v>
      </c>
      <c r="E313" s="3" t="s">
        <v>20</v>
      </c>
      <c r="F313" s="3" t="s">
        <v>32</v>
      </c>
      <c r="G313" s="3" t="s">
        <v>15</v>
      </c>
      <c r="H313" s="3" t="s">
        <v>561</v>
      </c>
      <c r="I313" s="3" t="s">
        <v>562</v>
      </c>
      <c r="J313" s="3" t="s">
        <v>18</v>
      </c>
      <c r="K313" s="3">
        <v>561.39</v>
      </c>
      <c r="L313" s="3">
        <v>7</v>
      </c>
      <c r="M313" s="3">
        <v>79.23</v>
      </c>
      <c r="N313" s="3">
        <v>0.06</v>
      </c>
    </row>
    <row r="314" spans="3:14" ht="15" hidden="1" customHeight="1">
      <c r="C314" s="3" t="s">
        <v>641</v>
      </c>
      <c r="D314" s="25">
        <v>45759</v>
      </c>
      <c r="E314" s="3" t="s">
        <v>41</v>
      </c>
      <c r="F314" s="3" t="s">
        <v>32</v>
      </c>
      <c r="G314" s="3" t="s">
        <v>15</v>
      </c>
      <c r="H314" s="3" t="s">
        <v>642</v>
      </c>
      <c r="I314" s="3" t="s">
        <v>643</v>
      </c>
      <c r="J314" s="3" t="s">
        <v>35</v>
      </c>
      <c r="K314" s="3">
        <v>555.87</v>
      </c>
      <c r="L314" s="3">
        <v>4</v>
      </c>
      <c r="M314" s="3">
        <v>181.6</v>
      </c>
      <c r="N314" s="3">
        <v>0.27</v>
      </c>
    </row>
    <row r="315" spans="3:14" ht="15" hidden="1" customHeight="1">
      <c r="C315" s="3" t="s">
        <v>1118</v>
      </c>
      <c r="D315" s="25">
        <v>45767</v>
      </c>
      <c r="E315" s="3" t="s">
        <v>13</v>
      </c>
      <c r="F315" s="3" t="s">
        <v>32</v>
      </c>
      <c r="G315" s="3" t="s">
        <v>15</v>
      </c>
      <c r="H315" s="3" t="s">
        <v>1119</v>
      </c>
      <c r="I315" s="3" t="s">
        <v>1120</v>
      </c>
      <c r="J315" s="3" t="s">
        <v>39</v>
      </c>
      <c r="K315" s="3">
        <v>552.4</v>
      </c>
      <c r="L315" s="3">
        <v>4</v>
      </c>
      <c r="M315" s="3">
        <v>29.11</v>
      </c>
      <c r="N315" s="3">
        <v>0.01</v>
      </c>
    </row>
    <row r="316" spans="3:14" ht="15" hidden="1" customHeight="1">
      <c r="C316" s="3" t="s">
        <v>914</v>
      </c>
      <c r="D316" s="25">
        <v>45888</v>
      </c>
      <c r="E316" s="3" t="s">
        <v>41</v>
      </c>
      <c r="F316" s="3" t="s">
        <v>21</v>
      </c>
      <c r="G316" s="3" t="s">
        <v>15</v>
      </c>
      <c r="H316" s="3" t="s">
        <v>915</v>
      </c>
      <c r="I316" s="3" t="s">
        <v>916</v>
      </c>
      <c r="J316" s="3" t="s">
        <v>39</v>
      </c>
      <c r="K316" s="3">
        <v>550.77</v>
      </c>
      <c r="L316" s="3">
        <v>2</v>
      </c>
      <c r="M316" s="3">
        <v>116.99</v>
      </c>
      <c r="N316" s="3">
        <v>0.23</v>
      </c>
    </row>
    <row r="317" spans="3:14" ht="15" hidden="1" customHeight="1">
      <c r="C317" s="3" t="s">
        <v>620</v>
      </c>
      <c r="D317" s="25">
        <v>45934</v>
      </c>
      <c r="E317" s="3" t="s">
        <v>41</v>
      </c>
      <c r="F317" s="3" t="s">
        <v>21</v>
      </c>
      <c r="G317" s="3" t="s">
        <v>15</v>
      </c>
      <c r="H317" s="3" t="s">
        <v>621</v>
      </c>
      <c r="I317" s="3" t="s">
        <v>622</v>
      </c>
      <c r="J317" s="3" t="s">
        <v>35</v>
      </c>
      <c r="K317" s="3">
        <v>549.12</v>
      </c>
      <c r="L317" s="3">
        <v>6</v>
      </c>
      <c r="M317" s="3">
        <v>195.19</v>
      </c>
      <c r="N317" s="3">
        <v>7.0000000000000007E-2</v>
      </c>
    </row>
    <row r="318" spans="3:14" ht="15" hidden="1" customHeight="1">
      <c r="C318" s="3" t="s">
        <v>605</v>
      </c>
      <c r="D318" s="25">
        <v>45741</v>
      </c>
      <c r="E318" s="3" t="s">
        <v>13</v>
      </c>
      <c r="F318" s="3" t="s">
        <v>14</v>
      </c>
      <c r="G318" s="3" t="s">
        <v>15</v>
      </c>
      <c r="H318" s="3" t="s">
        <v>606</v>
      </c>
      <c r="I318" s="3" t="s">
        <v>607</v>
      </c>
      <c r="J318" s="3" t="s">
        <v>18</v>
      </c>
      <c r="K318" s="3">
        <v>548.76</v>
      </c>
      <c r="L318" s="3">
        <v>9</v>
      </c>
      <c r="M318" s="3">
        <v>148.41999999999999</v>
      </c>
      <c r="N318" s="3">
        <v>0.15</v>
      </c>
    </row>
    <row r="319" spans="3:14" ht="15" customHeight="1">
      <c r="C319" s="3" t="s">
        <v>608</v>
      </c>
      <c r="D319" s="25">
        <v>45920</v>
      </c>
      <c r="E319" s="3" t="s">
        <v>20</v>
      </c>
      <c r="F319" s="3" t="s">
        <v>14</v>
      </c>
      <c r="G319" s="3" t="s">
        <v>15</v>
      </c>
      <c r="H319" s="3" t="s">
        <v>609</v>
      </c>
      <c r="I319" s="3" t="s">
        <v>610</v>
      </c>
      <c r="J319" s="3" t="s">
        <v>18</v>
      </c>
      <c r="K319" s="3">
        <v>542.97</v>
      </c>
      <c r="L319" s="3">
        <v>10</v>
      </c>
      <c r="M319" s="3">
        <v>99.45</v>
      </c>
      <c r="N319" s="3">
        <v>0.3</v>
      </c>
    </row>
    <row r="320" spans="3:14" ht="15" hidden="1" customHeight="1">
      <c r="C320" s="3" t="s">
        <v>602</v>
      </c>
      <c r="D320" s="25">
        <v>45896</v>
      </c>
      <c r="E320" s="3" t="s">
        <v>41</v>
      </c>
      <c r="F320" s="3" t="s">
        <v>32</v>
      </c>
      <c r="G320" s="3" t="s">
        <v>15</v>
      </c>
      <c r="H320" s="3" t="s">
        <v>603</v>
      </c>
      <c r="I320" s="3" t="s">
        <v>604</v>
      </c>
      <c r="J320" s="3" t="s">
        <v>18</v>
      </c>
      <c r="K320" s="3">
        <v>534.6</v>
      </c>
      <c r="L320" s="3">
        <v>2</v>
      </c>
      <c r="M320" s="3">
        <v>123.46</v>
      </c>
      <c r="N320" s="3">
        <v>0.06</v>
      </c>
    </row>
    <row r="321" spans="3:14" ht="15" hidden="1" customHeight="1">
      <c r="C321" s="3" t="s">
        <v>146</v>
      </c>
      <c r="D321" s="25">
        <v>45923</v>
      </c>
      <c r="E321" s="3" t="s">
        <v>13</v>
      </c>
      <c r="F321" s="3" t="s">
        <v>21</v>
      </c>
      <c r="G321" s="3" t="s">
        <v>15</v>
      </c>
      <c r="H321" s="3" t="s">
        <v>147</v>
      </c>
      <c r="I321" s="3" t="s">
        <v>148</v>
      </c>
      <c r="J321" s="3" t="s">
        <v>18</v>
      </c>
      <c r="K321" s="3">
        <v>527.5</v>
      </c>
      <c r="L321" s="3">
        <v>7</v>
      </c>
      <c r="M321" s="3">
        <v>192.06</v>
      </c>
      <c r="N321" s="3">
        <v>0.02</v>
      </c>
    </row>
    <row r="322" spans="3:14" ht="15" hidden="1" customHeight="1">
      <c r="C322" s="3" t="s">
        <v>1100</v>
      </c>
      <c r="D322" s="25">
        <v>45665</v>
      </c>
      <c r="E322" s="3" t="s">
        <v>28</v>
      </c>
      <c r="F322" s="3" t="s">
        <v>14</v>
      </c>
      <c r="G322" s="3" t="s">
        <v>15</v>
      </c>
      <c r="H322" s="3" t="s">
        <v>1101</v>
      </c>
      <c r="I322" s="3" t="s">
        <v>1102</v>
      </c>
      <c r="J322" s="3" t="s">
        <v>39</v>
      </c>
      <c r="K322" s="3">
        <v>526.61</v>
      </c>
      <c r="L322" s="3">
        <v>8</v>
      </c>
      <c r="M322" s="3">
        <v>66.23</v>
      </c>
      <c r="N322" s="3">
        <v>0.02</v>
      </c>
    </row>
    <row r="323" spans="3:14" ht="15" hidden="1" customHeight="1">
      <c r="C323" s="3" t="s">
        <v>401</v>
      </c>
      <c r="D323" s="25">
        <v>46017</v>
      </c>
      <c r="E323" s="3" t="s">
        <v>20</v>
      </c>
      <c r="F323" s="3" t="s">
        <v>21</v>
      </c>
      <c r="G323" s="3" t="s">
        <v>15</v>
      </c>
      <c r="H323" s="3" t="s">
        <v>402</v>
      </c>
      <c r="I323" s="3" t="s">
        <v>403</v>
      </c>
      <c r="J323" s="3" t="s">
        <v>18</v>
      </c>
      <c r="K323" s="3">
        <v>526.32000000000005</v>
      </c>
      <c r="L323" s="3">
        <v>2</v>
      </c>
      <c r="M323" s="3">
        <v>108.83</v>
      </c>
      <c r="N323" s="3">
        <v>0.25</v>
      </c>
    </row>
    <row r="324" spans="3:14" ht="15" hidden="1" customHeight="1">
      <c r="C324" s="3" t="s">
        <v>449</v>
      </c>
      <c r="D324" s="25">
        <v>45671</v>
      </c>
      <c r="E324" s="3" t="s">
        <v>13</v>
      </c>
      <c r="F324" s="3" t="s">
        <v>14</v>
      </c>
      <c r="G324" s="3" t="s">
        <v>15</v>
      </c>
      <c r="H324" s="3" t="s">
        <v>450</v>
      </c>
      <c r="I324" s="3" t="s">
        <v>451</v>
      </c>
      <c r="J324" s="3" t="s">
        <v>39</v>
      </c>
      <c r="K324" s="3">
        <v>525.23</v>
      </c>
      <c r="L324" s="3">
        <v>8</v>
      </c>
      <c r="M324" s="3">
        <v>114.32</v>
      </c>
      <c r="N324" s="3">
        <v>0.2</v>
      </c>
    </row>
    <row r="325" spans="3:14" ht="15" hidden="1" customHeight="1">
      <c r="C325" s="3" t="s">
        <v>347</v>
      </c>
      <c r="D325" s="25">
        <v>45950</v>
      </c>
      <c r="E325" s="3" t="s">
        <v>28</v>
      </c>
      <c r="F325" s="3" t="s">
        <v>32</v>
      </c>
      <c r="G325" s="3" t="s">
        <v>15</v>
      </c>
      <c r="H325" s="3" t="s">
        <v>348</v>
      </c>
      <c r="I325" s="3" t="s">
        <v>349</v>
      </c>
      <c r="J325" s="3" t="s">
        <v>35</v>
      </c>
      <c r="K325" s="3">
        <v>518.80999999999995</v>
      </c>
      <c r="L325" s="3">
        <v>6</v>
      </c>
      <c r="M325" s="3">
        <v>137.55000000000001</v>
      </c>
      <c r="N325" s="3">
        <v>0.15</v>
      </c>
    </row>
    <row r="326" spans="3:14" ht="15" hidden="1" customHeight="1">
      <c r="C326" s="3" t="s">
        <v>839</v>
      </c>
      <c r="D326" s="25">
        <v>45829</v>
      </c>
      <c r="E326" s="3" t="s">
        <v>28</v>
      </c>
      <c r="F326" s="3" t="s">
        <v>32</v>
      </c>
      <c r="G326" s="3" t="s">
        <v>15</v>
      </c>
      <c r="H326" s="3" t="s">
        <v>840</v>
      </c>
      <c r="I326" s="3" t="s">
        <v>841</v>
      </c>
      <c r="J326" s="3" t="s">
        <v>18</v>
      </c>
      <c r="K326" s="3">
        <v>516.5</v>
      </c>
      <c r="L326" s="3">
        <v>5</v>
      </c>
      <c r="M326" s="3">
        <v>137.47999999999999</v>
      </c>
      <c r="N326" s="3">
        <v>0.23</v>
      </c>
    </row>
    <row r="327" spans="3:14" ht="15" hidden="1" customHeight="1">
      <c r="C327" s="3" t="s">
        <v>1106</v>
      </c>
      <c r="D327" s="25">
        <v>45802</v>
      </c>
      <c r="E327" s="3" t="s">
        <v>28</v>
      </c>
      <c r="F327" s="3" t="s">
        <v>21</v>
      </c>
      <c r="G327" s="3" t="s">
        <v>15</v>
      </c>
      <c r="H327" s="3" t="s">
        <v>1107</v>
      </c>
      <c r="I327" s="3" t="s">
        <v>1108</v>
      </c>
      <c r="J327" s="3" t="s">
        <v>35</v>
      </c>
      <c r="K327" s="3">
        <v>499.97</v>
      </c>
      <c r="L327" s="3">
        <v>5</v>
      </c>
      <c r="M327" s="3">
        <v>86.11</v>
      </c>
      <c r="N327" s="3">
        <v>0.27</v>
      </c>
    </row>
    <row r="328" spans="3:14" ht="15" hidden="1" customHeight="1">
      <c r="C328" s="3" t="s">
        <v>284</v>
      </c>
      <c r="D328" s="25">
        <v>45939</v>
      </c>
      <c r="E328" s="3" t="s">
        <v>28</v>
      </c>
      <c r="F328" s="3" t="s">
        <v>32</v>
      </c>
      <c r="G328" s="3" t="s">
        <v>15</v>
      </c>
      <c r="H328" s="3" t="s">
        <v>285</v>
      </c>
      <c r="I328" s="3" t="s">
        <v>286</v>
      </c>
      <c r="J328" s="3" t="s">
        <v>35</v>
      </c>
      <c r="K328" s="3">
        <v>497.74</v>
      </c>
      <c r="L328" s="3">
        <v>5</v>
      </c>
      <c r="M328" s="3">
        <v>167.18</v>
      </c>
      <c r="N328" s="3">
        <v>0.01</v>
      </c>
    </row>
    <row r="329" spans="3:14" ht="15" hidden="1" customHeight="1">
      <c r="C329" s="3" t="s">
        <v>107</v>
      </c>
      <c r="D329" s="25">
        <v>46015</v>
      </c>
      <c r="E329" s="3" t="s">
        <v>28</v>
      </c>
      <c r="F329" s="3" t="s">
        <v>32</v>
      </c>
      <c r="G329" s="3" t="s">
        <v>15</v>
      </c>
      <c r="H329" s="3" t="s">
        <v>108</v>
      </c>
      <c r="I329" s="3" t="s">
        <v>109</v>
      </c>
      <c r="J329" s="3" t="s">
        <v>39</v>
      </c>
      <c r="K329" s="3">
        <v>491.92</v>
      </c>
      <c r="L329" s="3">
        <v>2</v>
      </c>
      <c r="M329" s="3">
        <v>79.930000000000007</v>
      </c>
      <c r="N329" s="3">
        <v>0.25</v>
      </c>
    </row>
    <row r="330" spans="3:14" ht="15" hidden="1" customHeight="1">
      <c r="C330" s="3" t="s">
        <v>572</v>
      </c>
      <c r="D330" s="25">
        <v>45895</v>
      </c>
      <c r="E330" s="3" t="s">
        <v>20</v>
      </c>
      <c r="F330" s="3" t="s">
        <v>32</v>
      </c>
      <c r="G330" s="3" t="s">
        <v>15</v>
      </c>
      <c r="H330" s="3" t="s">
        <v>573</v>
      </c>
      <c r="I330" s="3" t="s">
        <v>574</v>
      </c>
      <c r="J330" s="3" t="s">
        <v>39</v>
      </c>
      <c r="K330" s="3">
        <v>491.92</v>
      </c>
      <c r="L330" s="3">
        <v>6</v>
      </c>
      <c r="M330" s="3">
        <v>72.48</v>
      </c>
      <c r="N330" s="3">
        <v>0.15</v>
      </c>
    </row>
    <row r="331" spans="3:14" ht="15" hidden="1" customHeight="1">
      <c r="C331" s="3" t="s">
        <v>887</v>
      </c>
      <c r="D331" s="25">
        <v>45704</v>
      </c>
      <c r="E331" s="3" t="s">
        <v>28</v>
      </c>
      <c r="F331" s="3" t="s">
        <v>14</v>
      </c>
      <c r="G331" s="3" t="s">
        <v>15</v>
      </c>
      <c r="H331" s="3" t="s">
        <v>888</v>
      </c>
      <c r="I331" s="3" t="s">
        <v>889</v>
      </c>
      <c r="J331" s="3" t="s">
        <v>39</v>
      </c>
      <c r="K331" s="3">
        <v>489.75</v>
      </c>
      <c r="L331" s="3">
        <v>7</v>
      </c>
      <c r="M331" s="3">
        <v>186.92</v>
      </c>
      <c r="N331" s="3">
        <v>0.16</v>
      </c>
    </row>
    <row r="332" spans="3:14" ht="15" hidden="1" customHeight="1">
      <c r="C332" s="3" t="s">
        <v>239</v>
      </c>
      <c r="D332" s="25">
        <v>45764</v>
      </c>
      <c r="E332" s="3" t="s">
        <v>28</v>
      </c>
      <c r="F332" s="3" t="s">
        <v>14</v>
      </c>
      <c r="G332" s="3" t="s">
        <v>15</v>
      </c>
      <c r="H332" s="3" t="s">
        <v>240</v>
      </c>
      <c r="I332" s="3" t="s">
        <v>241</v>
      </c>
      <c r="J332" s="3" t="s">
        <v>39</v>
      </c>
      <c r="K332" s="3">
        <v>488.13</v>
      </c>
      <c r="L332" s="3">
        <v>8</v>
      </c>
      <c r="M332" s="3">
        <v>57.13</v>
      </c>
      <c r="N332" s="3">
        <v>0.05</v>
      </c>
    </row>
    <row r="333" spans="3:14" ht="15" hidden="1" customHeight="1">
      <c r="C333" s="3" t="s">
        <v>635</v>
      </c>
      <c r="D333" s="25">
        <v>45730</v>
      </c>
      <c r="E333" s="3" t="s">
        <v>20</v>
      </c>
      <c r="F333" s="3" t="s">
        <v>32</v>
      </c>
      <c r="G333" s="3" t="s">
        <v>15</v>
      </c>
      <c r="H333" s="3" t="s">
        <v>636</v>
      </c>
      <c r="I333" s="3" t="s">
        <v>637</v>
      </c>
      <c r="J333" s="3" t="s">
        <v>18</v>
      </c>
      <c r="K333" s="3">
        <v>485.04</v>
      </c>
      <c r="L333" s="3">
        <v>8</v>
      </c>
      <c r="M333" s="3">
        <v>35.78</v>
      </c>
      <c r="N333" s="3">
        <v>0.05</v>
      </c>
    </row>
    <row r="334" spans="3:14" ht="15" hidden="1" customHeight="1">
      <c r="C334" s="3" t="s">
        <v>455</v>
      </c>
      <c r="D334" s="25">
        <v>45774</v>
      </c>
      <c r="E334" s="3" t="s">
        <v>13</v>
      </c>
      <c r="F334" s="3" t="s">
        <v>32</v>
      </c>
      <c r="G334" s="3" t="s">
        <v>15</v>
      </c>
      <c r="H334" s="3" t="s">
        <v>456</v>
      </c>
      <c r="I334" s="3" t="s">
        <v>457</v>
      </c>
      <c r="J334" s="3" t="s">
        <v>35</v>
      </c>
      <c r="K334" s="3">
        <v>484.68</v>
      </c>
      <c r="L334" s="3">
        <v>8</v>
      </c>
      <c r="M334" s="3">
        <v>113.17</v>
      </c>
      <c r="N334" s="3">
        <v>0.22</v>
      </c>
    </row>
    <row r="335" spans="3:14" ht="15" hidden="1" customHeight="1">
      <c r="C335" s="3" t="s">
        <v>485</v>
      </c>
      <c r="D335" s="25">
        <v>45713</v>
      </c>
      <c r="E335" s="3" t="s">
        <v>41</v>
      </c>
      <c r="F335" s="3" t="s">
        <v>32</v>
      </c>
      <c r="G335" s="3" t="s">
        <v>15</v>
      </c>
      <c r="H335" s="3" t="s">
        <v>486</v>
      </c>
      <c r="I335" s="3" t="s">
        <v>487</v>
      </c>
      <c r="J335" s="3" t="s">
        <v>18</v>
      </c>
      <c r="K335" s="3">
        <v>477.01</v>
      </c>
      <c r="L335" s="3">
        <v>10</v>
      </c>
      <c r="M335" s="3">
        <v>46.89</v>
      </c>
      <c r="N335" s="3">
        <v>0.11</v>
      </c>
    </row>
    <row r="336" spans="3:14" ht="15" hidden="1" customHeight="1">
      <c r="C336" s="3" t="s">
        <v>584</v>
      </c>
      <c r="D336" s="25">
        <v>45720</v>
      </c>
      <c r="E336" s="3" t="s">
        <v>13</v>
      </c>
      <c r="F336" s="3" t="s">
        <v>21</v>
      </c>
      <c r="G336" s="3" t="s">
        <v>15</v>
      </c>
      <c r="H336" s="3" t="s">
        <v>585</v>
      </c>
      <c r="I336" s="3" t="s">
        <v>586</v>
      </c>
      <c r="J336" s="3" t="s">
        <v>35</v>
      </c>
      <c r="K336" s="3">
        <v>476.3</v>
      </c>
      <c r="L336" s="3">
        <v>6</v>
      </c>
      <c r="M336" s="3">
        <v>123.18</v>
      </c>
      <c r="N336" s="3">
        <v>0.02</v>
      </c>
    </row>
    <row r="337" spans="3:14" ht="15" hidden="1" customHeight="1">
      <c r="C337" s="3" t="s">
        <v>764</v>
      </c>
      <c r="D337" s="25">
        <v>45743</v>
      </c>
      <c r="E337" s="3" t="s">
        <v>28</v>
      </c>
      <c r="F337" s="3" t="s">
        <v>14</v>
      </c>
      <c r="G337" s="3" t="s">
        <v>15</v>
      </c>
      <c r="H337" s="3" t="s">
        <v>765</v>
      </c>
      <c r="I337" s="3" t="s">
        <v>766</v>
      </c>
      <c r="J337" s="3" t="s">
        <v>35</v>
      </c>
      <c r="K337" s="3">
        <v>463.29</v>
      </c>
      <c r="L337" s="3">
        <v>5</v>
      </c>
      <c r="M337" s="3">
        <v>132.29</v>
      </c>
      <c r="N337" s="3">
        <v>0.09</v>
      </c>
    </row>
    <row r="338" spans="3:14" ht="15" customHeight="1">
      <c r="C338" s="3" t="s">
        <v>947</v>
      </c>
      <c r="D338" s="25">
        <v>45663</v>
      </c>
      <c r="E338" s="3" t="s">
        <v>13</v>
      </c>
      <c r="F338" s="3" t="s">
        <v>14</v>
      </c>
      <c r="G338" s="3" t="s">
        <v>15</v>
      </c>
      <c r="H338" s="3" t="s">
        <v>948</v>
      </c>
      <c r="I338" s="3" t="s">
        <v>949</v>
      </c>
      <c r="J338" s="3" t="s">
        <v>35</v>
      </c>
      <c r="K338" s="3">
        <v>454.82</v>
      </c>
      <c r="L338" s="3">
        <v>1</v>
      </c>
      <c r="M338" s="3">
        <v>163.19999999999999</v>
      </c>
      <c r="N338" s="3">
        <v>0.23</v>
      </c>
    </row>
    <row r="339" spans="3:14" ht="15" hidden="1" customHeight="1">
      <c r="C339" s="3" t="s">
        <v>899</v>
      </c>
      <c r="D339" s="25">
        <v>45832</v>
      </c>
      <c r="E339" s="3" t="s">
        <v>13</v>
      </c>
      <c r="F339" s="3" t="s">
        <v>32</v>
      </c>
      <c r="G339" s="3" t="s">
        <v>15</v>
      </c>
      <c r="H339" s="3" t="s">
        <v>900</v>
      </c>
      <c r="I339" s="3" t="s">
        <v>901</v>
      </c>
      <c r="J339" s="3" t="s">
        <v>18</v>
      </c>
      <c r="K339" s="3">
        <v>441.54</v>
      </c>
      <c r="L339" s="3">
        <v>8</v>
      </c>
      <c r="M339" s="3">
        <v>76.69</v>
      </c>
      <c r="N339" s="3">
        <v>0.25</v>
      </c>
    </row>
    <row r="340" spans="3:14" ht="15" hidden="1" customHeight="1">
      <c r="C340" s="3" t="s">
        <v>1217</v>
      </c>
      <c r="D340" s="25">
        <v>45876</v>
      </c>
      <c r="E340" s="3" t="s">
        <v>41</v>
      </c>
      <c r="F340" s="3" t="s">
        <v>14</v>
      </c>
      <c r="G340" s="3" t="s">
        <v>15</v>
      </c>
      <c r="H340" s="3" t="s">
        <v>1218</v>
      </c>
      <c r="I340" s="3" t="s">
        <v>1219</v>
      </c>
      <c r="J340" s="3" t="s">
        <v>35</v>
      </c>
      <c r="K340" s="3">
        <v>439.21</v>
      </c>
      <c r="L340" s="3">
        <v>8</v>
      </c>
      <c r="M340" s="3">
        <v>58.18</v>
      </c>
      <c r="N340" s="3">
        <v>0.1</v>
      </c>
    </row>
    <row r="341" spans="3:14" ht="15" hidden="1" customHeight="1">
      <c r="C341" s="3" t="s">
        <v>275</v>
      </c>
      <c r="D341" s="25">
        <v>45834</v>
      </c>
      <c r="E341" s="3" t="s">
        <v>41</v>
      </c>
      <c r="F341" s="3" t="s">
        <v>14</v>
      </c>
      <c r="G341" s="3" t="s">
        <v>15</v>
      </c>
      <c r="H341" s="3" t="s">
        <v>276</v>
      </c>
      <c r="I341" s="3" t="s">
        <v>277</v>
      </c>
      <c r="J341" s="3" t="s">
        <v>35</v>
      </c>
      <c r="K341" s="3">
        <v>433.14</v>
      </c>
      <c r="L341" s="3">
        <v>5</v>
      </c>
      <c r="M341" s="3">
        <v>150.16</v>
      </c>
      <c r="N341" s="3">
        <v>0.12</v>
      </c>
    </row>
    <row r="342" spans="3:14" ht="15" customHeight="1">
      <c r="C342" s="3" t="s">
        <v>176</v>
      </c>
      <c r="D342" s="25">
        <v>45795</v>
      </c>
      <c r="E342" s="3" t="s">
        <v>13</v>
      </c>
      <c r="F342" s="3" t="s">
        <v>14</v>
      </c>
      <c r="G342" s="3" t="s">
        <v>15</v>
      </c>
      <c r="H342" s="3" t="s">
        <v>177</v>
      </c>
      <c r="I342" s="3" t="s">
        <v>178</v>
      </c>
      <c r="J342" s="3" t="s">
        <v>35</v>
      </c>
      <c r="K342" s="3">
        <v>424.82</v>
      </c>
      <c r="L342" s="3">
        <v>9</v>
      </c>
      <c r="M342" s="3">
        <v>162.72</v>
      </c>
      <c r="N342" s="3">
        <v>0.27</v>
      </c>
    </row>
    <row r="343" spans="3:14" ht="15" hidden="1" customHeight="1">
      <c r="C343" s="3" t="s">
        <v>203</v>
      </c>
      <c r="D343" s="25">
        <v>45785</v>
      </c>
      <c r="E343" s="3" t="s">
        <v>13</v>
      </c>
      <c r="F343" s="3" t="s">
        <v>14</v>
      </c>
      <c r="G343" s="3" t="s">
        <v>15</v>
      </c>
      <c r="H343" s="3" t="s">
        <v>204</v>
      </c>
      <c r="I343" s="3" t="s">
        <v>205</v>
      </c>
      <c r="J343" s="3" t="s">
        <v>35</v>
      </c>
      <c r="K343" s="3">
        <v>417.59</v>
      </c>
      <c r="L343" s="3">
        <v>1</v>
      </c>
      <c r="M343" s="3">
        <v>119.95</v>
      </c>
      <c r="N343" s="3">
        <v>0.12</v>
      </c>
    </row>
    <row r="344" spans="3:14" ht="15" hidden="1" customHeight="1">
      <c r="C344" s="3" t="s">
        <v>188</v>
      </c>
      <c r="D344" s="25">
        <v>45735</v>
      </c>
      <c r="E344" s="3" t="s">
        <v>41</v>
      </c>
      <c r="F344" s="3" t="s">
        <v>14</v>
      </c>
      <c r="G344" s="3" t="s">
        <v>15</v>
      </c>
      <c r="H344" s="3" t="s">
        <v>189</v>
      </c>
      <c r="I344" s="3" t="s">
        <v>190</v>
      </c>
      <c r="J344" s="3" t="s">
        <v>35</v>
      </c>
      <c r="K344" s="3">
        <v>413.36</v>
      </c>
      <c r="L344" s="3">
        <v>5</v>
      </c>
      <c r="M344" s="3">
        <v>128.26</v>
      </c>
      <c r="N344" s="3">
        <v>0.02</v>
      </c>
    </row>
    <row r="345" spans="3:14" ht="15" hidden="1" customHeight="1">
      <c r="C345" s="3" t="s">
        <v>992</v>
      </c>
      <c r="D345" s="25">
        <v>45968</v>
      </c>
      <c r="E345" s="3" t="s">
        <v>28</v>
      </c>
      <c r="F345" s="3" t="s">
        <v>14</v>
      </c>
      <c r="G345" s="3" t="s">
        <v>15</v>
      </c>
      <c r="H345" s="3" t="s">
        <v>993</v>
      </c>
      <c r="I345" s="3" t="s">
        <v>994</v>
      </c>
      <c r="J345" s="3" t="s">
        <v>18</v>
      </c>
      <c r="K345" s="3">
        <v>412.57</v>
      </c>
      <c r="L345" s="3">
        <v>2</v>
      </c>
      <c r="M345" s="3">
        <v>64.92</v>
      </c>
      <c r="N345" s="3">
        <v>0.13</v>
      </c>
    </row>
    <row r="346" spans="3:14" ht="15" hidden="1" customHeight="1">
      <c r="C346" s="3" t="s">
        <v>464</v>
      </c>
      <c r="D346" s="25">
        <v>45890</v>
      </c>
      <c r="E346" s="3" t="s">
        <v>28</v>
      </c>
      <c r="F346" s="3" t="s">
        <v>14</v>
      </c>
      <c r="G346" s="3" t="s">
        <v>15</v>
      </c>
      <c r="H346" s="3" t="s">
        <v>465</v>
      </c>
      <c r="I346" s="3" t="s">
        <v>466</v>
      </c>
      <c r="J346" s="3" t="s">
        <v>18</v>
      </c>
      <c r="K346" s="3">
        <v>409.38</v>
      </c>
      <c r="L346" s="3">
        <v>3</v>
      </c>
      <c r="M346" s="3">
        <v>133.85</v>
      </c>
      <c r="N346" s="3">
        <v>0.2</v>
      </c>
    </row>
    <row r="347" spans="3:14" ht="15" hidden="1" customHeight="1">
      <c r="C347" s="3" t="s">
        <v>263</v>
      </c>
      <c r="D347" s="25">
        <v>45822</v>
      </c>
      <c r="E347" s="3" t="s">
        <v>41</v>
      </c>
      <c r="F347" s="3" t="s">
        <v>32</v>
      </c>
      <c r="G347" s="3" t="s">
        <v>15</v>
      </c>
      <c r="H347" s="3" t="s">
        <v>264</v>
      </c>
      <c r="I347" s="3" t="s">
        <v>265</v>
      </c>
      <c r="J347" s="3" t="s">
        <v>18</v>
      </c>
      <c r="K347" s="3">
        <v>401.75</v>
      </c>
      <c r="L347" s="3">
        <v>3</v>
      </c>
      <c r="M347" s="3">
        <v>135.93</v>
      </c>
      <c r="N347" s="3">
        <v>0.11</v>
      </c>
    </row>
    <row r="348" spans="3:14" ht="15" customHeight="1">
      <c r="C348" s="3" t="s">
        <v>1103</v>
      </c>
      <c r="D348" s="25">
        <v>45984</v>
      </c>
      <c r="E348" s="3" t="s">
        <v>20</v>
      </c>
      <c r="F348" s="3" t="s">
        <v>14</v>
      </c>
      <c r="G348" s="3" t="s">
        <v>15</v>
      </c>
      <c r="H348" s="3" t="s">
        <v>1104</v>
      </c>
      <c r="I348" s="3" t="s">
        <v>1105</v>
      </c>
      <c r="J348" s="3" t="s">
        <v>39</v>
      </c>
      <c r="K348" s="3">
        <v>401.31</v>
      </c>
      <c r="L348" s="3">
        <v>7</v>
      </c>
      <c r="M348" s="3">
        <v>111.76</v>
      </c>
      <c r="N348" s="3">
        <v>0.23</v>
      </c>
    </row>
    <row r="349" spans="3:14" ht="15" hidden="1" customHeight="1">
      <c r="C349" s="3" t="s">
        <v>272</v>
      </c>
      <c r="D349" s="25">
        <v>45878</v>
      </c>
      <c r="E349" s="3" t="s">
        <v>41</v>
      </c>
      <c r="F349" s="3" t="s">
        <v>32</v>
      </c>
      <c r="G349" s="3" t="s">
        <v>15</v>
      </c>
      <c r="H349" s="3" t="s">
        <v>273</v>
      </c>
      <c r="I349" s="3" t="s">
        <v>274</v>
      </c>
      <c r="J349" s="3" t="s">
        <v>18</v>
      </c>
      <c r="K349" s="3">
        <v>387.7</v>
      </c>
      <c r="L349" s="3">
        <v>6</v>
      </c>
      <c r="M349" s="3">
        <v>138.15</v>
      </c>
      <c r="N349" s="3">
        <v>0.25</v>
      </c>
    </row>
    <row r="350" spans="3:14" ht="15" hidden="1" customHeight="1">
      <c r="C350" s="3" t="s">
        <v>533</v>
      </c>
      <c r="D350" s="25">
        <v>45904</v>
      </c>
      <c r="E350" s="3" t="s">
        <v>28</v>
      </c>
      <c r="F350" s="3" t="s">
        <v>14</v>
      </c>
      <c r="G350" s="3" t="s">
        <v>15</v>
      </c>
      <c r="H350" s="3" t="s">
        <v>534</v>
      </c>
      <c r="I350" s="3" t="s">
        <v>535</v>
      </c>
      <c r="J350" s="3" t="s">
        <v>35</v>
      </c>
      <c r="K350" s="3">
        <v>383.41</v>
      </c>
      <c r="L350" s="3">
        <v>4</v>
      </c>
      <c r="M350" s="3">
        <v>100.68</v>
      </c>
      <c r="N350" s="3">
        <v>0.09</v>
      </c>
    </row>
    <row r="351" spans="3:14" ht="15" customHeight="1">
      <c r="C351" s="3" t="s">
        <v>773</v>
      </c>
      <c r="D351" s="25">
        <v>45805</v>
      </c>
      <c r="E351" s="3" t="s">
        <v>41</v>
      </c>
      <c r="F351" s="3" t="s">
        <v>14</v>
      </c>
      <c r="G351" s="3" t="s">
        <v>15</v>
      </c>
      <c r="H351" s="3" t="s">
        <v>774</v>
      </c>
      <c r="I351" s="3" t="s">
        <v>775</v>
      </c>
      <c r="J351" s="3" t="s">
        <v>18</v>
      </c>
      <c r="K351" s="3">
        <v>370.23</v>
      </c>
      <c r="L351" s="3">
        <v>8</v>
      </c>
      <c r="M351" s="3">
        <v>87.81</v>
      </c>
      <c r="N351" s="3">
        <v>0.25</v>
      </c>
    </row>
    <row r="352" spans="3:14" ht="15" hidden="1" customHeight="1">
      <c r="C352" s="3" t="s">
        <v>425</v>
      </c>
      <c r="D352" s="25">
        <v>45927</v>
      </c>
      <c r="E352" s="3" t="s">
        <v>28</v>
      </c>
      <c r="F352" s="3" t="s">
        <v>32</v>
      </c>
      <c r="G352" s="3" t="s">
        <v>15</v>
      </c>
      <c r="H352" s="3" t="s">
        <v>426</v>
      </c>
      <c r="I352" s="3" t="s">
        <v>427</v>
      </c>
      <c r="J352" s="3" t="s">
        <v>18</v>
      </c>
      <c r="K352" s="3">
        <v>358.7</v>
      </c>
      <c r="L352" s="3">
        <v>6</v>
      </c>
      <c r="M352" s="3">
        <v>95.35</v>
      </c>
      <c r="N352" s="3">
        <v>0.22</v>
      </c>
    </row>
    <row r="353" spans="3:14" ht="15" hidden="1" customHeight="1">
      <c r="C353" s="3" t="s">
        <v>1043</v>
      </c>
      <c r="D353" s="25">
        <v>45812</v>
      </c>
      <c r="E353" s="3" t="s">
        <v>28</v>
      </c>
      <c r="F353" s="3" t="s">
        <v>21</v>
      </c>
      <c r="G353" s="3" t="s">
        <v>15</v>
      </c>
      <c r="H353" s="3" t="s">
        <v>1044</v>
      </c>
      <c r="I353" s="3" t="s">
        <v>1045</v>
      </c>
      <c r="J353" s="3" t="s">
        <v>39</v>
      </c>
      <c r="K353" s="3">
        <v>349.34</v>
      </c>
      <c r="L353" s="3">
        <v>7</v>
      </c>
      <c r="M353" s="3">
        <v>19.11</v>
      </c>
      <c r="N353" s="3">
        <v>0.12</v>
      </c>
    </row>
    <row r="354" spans="3:14" ht="15" hidden="1" customHeight="1">
      <c r="C354" s="3" t="s">
        <v>962</v>
      </c>
      <c r="D354" s="25">
        <v>45924</v>
      </c>
      <c r="E354" s="3" t="s">
        <v>28</v>
      </c>
      <c r="F354" s="3" t="s">
        <v>32</v>
      </c>
      <c r="G354" s="3" t="s">
        <v>15</v>
      </c>
      <c r="H354" s="3" t="s">
        <v>963</v>
      </c>
      <c r="I354" s="3" t="s">
        <v>964</v>
      </c>
      <c r="J354" s="3" t="s">
        <v>35</v>
      </c>
      <c r="K354" s="3">
        <v>333.18</v>
      </c>
      <c r="L354" s="3">
        <v>7</v>
      </c>
      <c r="M354" s="3">
        <v>100.12</v>
      </c>
      <c r="N354" s="3">
        <v>0.03</v>
      </c>
    </row>
    <row r="355" spans="3:14" ht="15" hidden="1" customHeight="1">
      <c r="C355" s="3" t="s">
        <v>212</v>
      </c>
      <c r="D355" s="25">
        <v>45896</v>
      </c>
      <c r="E355" s="3" t="s">
        <v>28</v>
      </c>
      <c r="F355" s="3" t="s">
        <v>32</v>
      </c>
      <c r="G355" s="3" t="s">
        <v>15</v>
      </c>
      <c r="H355" s="3" t="s">
        <v>213</v>
      </c>
      <c r="I355" s="3" t="s">
        <v>214</v>
      </c>
      <c r="J355" s="3" t="s">
        <v>35</v>
      </c>
      <c r="K355" s="3">
        <v>327.85</v>
      </c>
      <c r="L355" s="3">
        <v>6</v>
      </c>
      <c r="M355" s="3">
        <v>73.34</v>
      </c>
      <c r="N355" s="3">
        <v>0.05</v>
      </c>
    </row>
    <row r="356" spans="3:14" ht="15" hidden="1" customHeight="1">
      <c r="C356" s="3" t="s">
        <v>518</v>
      </c>
      <c r="D356" s="25">
        <v>45682</v>
      </c>
      <c r="E356" s="3" t="s">
        <v>13</v>
      </c>
      <c r="F356" s="3" t="s">
        <v>14</v>
      </c>
      <c r="G356" s="3" t="s">
        <v>15</v>
      </c>
      <c r="H356" s="3" t="s">
        <v>519</v>
      </c>
      <c r="I356" s="3" t="s">
        <v>520</v>
      </c>
      <c r="J356" s="3" t="s">
        <v>18</v>
      </c>
      <c r="K356" s="3">
        <v>316.64</v>
      </c>
      <c r="L356" s="3">
        <v>9</v>
      </c>
      <c r="M356" s="3">
        <v>59.48</v>
      </c>
      <c r="N356" s="3">
        <v>0.2</v>
      </c>
    </row>
    <row r="357" spans="3:14" ht="15" hidden="1" customHeight="1">
      <c r="C357" s="3" t="s">
        <v>47</v>
      </c>
      <c r="D357" s="25">
        <v>46005</v>
      </c>
      <c r="E357" s="3" t="s">
        <v>41</v>
      </c>
      <c r="F357" s="3" t="s">
        <v>21</v>
      </c>
      <c r="G357" s="3" t="s">
        <v>15</v>
      </c>
      <c r="H357" s="3" t="s">
        <v>48</v>
      </c>
      <c r="I357" s="3" t="s">
        <v>49</v>
      </c>
      <c r="J357" s="3" t="s">
        <v>18</v>
      </c>
      <c r="K357" s="3">
        <v>312.23</v>
      </c>
      <c r="L357" s="3">
        <v>9</v>
      </c>
      <c r="M357" s="3">
        <v>102.62</v>
      </c>
      <c r="N357" s="3">
        <v>0.17</v>
      </c>
    </row>
    <row r="358" spans="3:14" ht="15" hidden="1" customHeight="1">
      <c r="C358" s="3" t="s">
        <v>1082</v>
      </c>
      <c r="D358" s="25">
        <v>46002</v>
      </c>
      <c r="E358" s="3" t="s">
        <v>41</v>
      </c>
      <c r="F358" s="3" t="s">
        <v>21</v>
      </c>
      <c r="G358" s="3" t="s">
        <v>15</v>
      </c>
      <c r="H358" s="3" t="s">
        <v>1083</v>
      </c>
      <c r="I358" s="3" t="s">
        <v>1084</v>
      </c>
      <c r="J358" s="3" t="s">
        <v>39</v>
      </c>
      <c r="K358" s="3">
        <v>307.08999999999997</v>
      </c>
      <c r="L358" s="3">
        <v>10</v>
      </c>
      <c r="M358" s="3">
        <v>15.99</v>
      </c>
      <c r="N358" s="3">
        <v>0.27</v>
      </c>
    </row>
    <row r="359" spans="3:14" ht="15" hidden="1" customHeight="1">
      <c r="C359" s="3" t="s">
        <v>251</v>
      </c>
      <c r="D359" s="25">
        <v>45878</v>
      </c>
      <c r="E359" s="3" t="s">
        <v>41</v>
      </c>
      <c r="F359" s="3" t="s">
        <v>21</v>
      </c>
      <c r="G359" s="3" t="s">
        <v>15</v>
      </c>
      <c r="H359" s="3" t="s">
        <v>252</v>
      </c>
      <c r="I359" s="3" t="s">
        <v>253</v>
      </c>
      <c r="J359" s="3" t="s">
        <v>35</v>
      </c>
      <c r="K359" s="3">
        <v>304.81</v>
      </c>
      <c r="L359" s="3">
        <v>3</v>
      </c>
      <c r="M359" s="3">
        <v>75.63</v>
      </c>
      <c r="N359" s="3">
        <v>0.08</v>
      </c>
    </row>
    <row r="360" spans="3:14" ht="15" hidden="1" customHeight="1">
      <c r="C360" s="3" t="s">
        <v>24</v>
      </c>
      <c r="D360" s="25">
        <v>45675</v>
      </c>
      <c r="E360" s="3" t="s">
        <v>13</v>
      </c>
      <c r="F360" s="3" t="s">
        <v>14</v>
      </c>
      <c r="G360" s="3" t="s">
        <v>15</v>
      </c>
      <c r="H360" s="3" t="s">
        <v>25</v>
      </c>
      <c r="I360" s="3" t="s">
        <v>26</v>
      </c>
      <c r="J360" s="3" t="s">
        <v>18</v>
      </c>
      <c r="K360" s="3">
        <v>298.11</v>
      </c>
      <c r="L360" s="3">
        <v>4</v>
      </c>
      <c r="M360" s="3">
        <v>109.47</v>
      </c>
      <c r="N360" s="3">
        <v>0.08</v>
      </c>
    </row>
    <row r="361" spans="3:14" ht="15" hidden="1" customHeight="1">
      <c r="C361" s="3" t="s">
        <v>542</v>
      </c>
      <c r="D361" s="25">
        <v>45681</v>
      </c>
      <c r="E361" s="3" t="s">
        <v>20</v>
      </c>
      <c r="F361" s="3" t="s">
        <v>32</v>
      </c>
      <c r="G361" s="3" t="s">
        <v>15</v>
      </c>
      <c r="H361" s="3" t="s">
        <v>543</v>
      </c>
      <c r="I361" s="3" t="s">
        <v>544</v>
      </c>
      <c r="J361" s="3" t="s">
        <v>18</v>
      </c>
      <c r="K361" s="3">
        <v>297.25</v>
      </c>
      <c r="L361" s="3">
        <v>2</v>
      </c>
      <c r="M361" s="3">
        <v>48.22</v>
      </c>
      <c r="N361" s="3">
        <v>0.02</v>
      </c>
    </row>
    <row r="362" spans="3:14" ht="15" hidden="1" customHeight="1">
      <c r="C362" s="3" t="s">
        <v>386</v>
      </c>
      <c r="D362" s="25">
        <v>45968</v>
      </c>
      <c r="E362" s="3" t="s">
        <v>20</v>
      </c>
      <c r="F362" s="3" t="s">
        <v>32</v>
      </c>
      <c r="G362" s="3" t="s">
        <v>15</v>
      </c>
      <c r="H362" s="3" t="s">
        <v>387</v>
      </c>
      <c r="I362" s="3" t="s">
        <v>388</v>
      </c>
      <c r="J362" s="3" t="s">
        <v>18</v>
      </c>
      <c r="K362" s="3">
        <v>281.23</v>
      </c>
      <c r="L362" s="3">
        <v>3</v>
      </c>
      <c r="M362" s="3">
        <v>68.38</v>
      </c>
      <c r="N362" s="3">
        <v>0.06</v>
      </c>
    </row>
    <row r="363" spans="3:14" ht="15" hidden="1" customHeight="1">
      <c r="C363" s="3" t="s">
        <v>563</v>
      </c>
      <c r="D363" s="25">
        <v>45969</v>
      </c>
      <c r="E363" s="3" t="s">
        <v>13</v>
      </c>
      <c r="F363" s="3" t="s">
        <v>32</v>
      </c>
      <c r="G363" s="3" t="s">
        <v>15</v>
      </c>
      <c r="H363" s="3" t="s">
        <v>564</v>
      </c>
      <c r="I363" s="3" t="s">
        <v>565</v>
      </c>
      <c r="J363" s="3" t="s">
        <v>18</v>
      </c>
      <c r="K363" s="3">
        <v>276.75</v>
      </c>
      <c r="L363" s="3">
        <v>7</v>
      </c>
      <c r="M363" s="3">
        <v>107.47</v>
      </c>
      <c r="N363" s="3">
        <v>0.27</v>
      </c>
    </row>
    <row r="364" spans="3:14" ht="15" customHeight="1">
      <c r="C364" s="3" t="s">
        <v>83</v>
      </c>
      <c r="D364" s="25">
        <v>45878</v>
      </c>
      <c r="E364" s="3" t="s">
        <v>41</v>
      </c>
      <c r="F364" s="3" t="s">
        <v>14</v>
      </c>
      <c r="G364" s="3" t="s">
        <v>15</v>
      </c>
      <c r="H364" s="3" t="s">
        <v>84</v>
      </c>
      <c r="I364" s="3" t="s">
        <v>85</v>
      </c>
      <c r="J364" s="3" t="s">
        <v>35</v>
      </c>
      <c r="K364" s="3">
        <v>252.73</v>
      </c>
      <c r="L364" s="3">
        <v>5</v>
      </c>
      <c r="M364" s="3">
        <v>31.14</v>
      </c>
      <c r="N364" s="3">
        <v>0.27</v>
      </c>
    </row>
    <row r="365" spans="3:14" ht="15" hidden="1" customHeight="1">
      <c r="C365" s="3" t="s">
        <v>788</v>
      </c>
      <c r="D365" s="25">
        <v>45770</v>
      </c>
      <c r="E365" s="3" t="s">
        <v>20</v>
      </c>
      <c r="F365" s="3" t="s">
        <v>32</v>
      </c>
      <c r="G365" s="3" t="s">
        <v>15</v>
      </c>
      <c r="H365" s="3" t="s">
        <v>789</v>
      </c>
      <c r="I365" s="3" t="s">
        <v>790</v>
      </c>
      <c r="J365" s="3" t="s">
        <v>18</v>
      </c>
      <c r="K365" s="3">
        <v>245.46</v>
      </c>
      <c r="L365" s="3">
        <v>1</v>
      </c>
      <c r="M365" s="3">
        <v>85.34</v>
      </c>
      <c r="N365" s="3">
        <v>0.3</v>
      </c>
    </row>
    <row r="366" spans="3:14" ht="15" hidden="1" customHeight="1">
      <c r="C366" s="3" t="s">
        <v>1037</v>
      </c>
      <c r="D366" s="25">
        <v>45986</v>
      </c>
      <c r="E366" s="3" t="s">
        <v>41</v>
      </c>
      <c r="F366" s="3" t="s">
        <v>14</v>
      </c>
      <c r="G366" s="3" t="s">
        <v>15</v>
      </c>
      <c r="H366" s="3" t="s">
        <v>1038</v>
      </c>
      <c r="I366" s="3" t="s">
        <v>1039</v>
      </c>
      <c r="J366" s="3" t="s">
        <v>35</v>
      </c>
      <c r="K366" s="3">
        <v>242.73</v>
      </c>
      <c r="L366" s="3">
        <v>8</v>
      </c>
      <c r="M366" s="3">
        <v>92.69</v>
      </c>
      <c r="N366" s="3">
        <v>0.16</v>
      </c>
    </row>
    <row r="367" spans="3:14" ht="15" hidden="1" customHeight="1">
      <c r="C367" s="3" t="s">
        <v>1196</v>
      </c>
      <c r="D367" s="25">
        <v>45874</v>
      </c>
      <c r="E367" s="3" t="s">
        <v>41</v>
      </c>
      <c r="F367" s="3" t="s">
        <v>14</v>
      </c>
      <c r="G367" s="3" t="s">
        <v>15</v>
      </c>
      <c r="H367" s="3" t="s">
        <v>1197</v>
      </c>
      <c r="I367" s="3" t="s">
        <v>1198</v>
      </c>
      <c r="J367" s="3" t="s">
        <v>39</v>
      </c>
      <c r="K367" s="3">
        <v>240.46</v>
      </c>
      <c r="L367" s="3">
        <v>2</v>
      </c>
      <c r="M367" s="3">
        <v>47.42</v>
      </c>
      <c r="N367" s="3">
        <v>0.12</v>
      </c>
    </row>
    <row r="368" spans="3:14" ht="15" customHeight="1">
      <c r="C368" s="3" t="s">
        <v>467</v>
      </c>
      <c r="D368" s="25">
        <v>45774</v>
      </c>
      <c r="E368" s="3" t="s">
        <v>28</v>
      </c>
      <c r="F368" s="3" t="s">
        <v>14</v>
      </c>
      <c r="G368" s="3" t="s">
        <v>15</v>
      </c>
      <c r="H368" s="3" t="s">
        <v>468</v>
      </c>
      <c r="I368" s="3" t="s">
        <v>469</v>
      </c>
      <c r="J368" s="3" t="s">
        <v>35</v>
      </c>
      <c r="K368" s="3">
        <v>236.34</v>
      </c>
      <c r="L368" s="3">
        <v>9</v>
      </c>
      <c r="M368" s="3">
        <v>82.17</v>
      </c>
      <c r="N368" s="3">
        <v>0.23</v>
      </c>
    </row>
    <row r="369" spans="3:14" ht="15" hidden="1" customHeight="1">
      <c r="C369" s="3" t="s">
        <v>1166</v>
      </c>
      <c r="D369" s="25">
        <v>45781</v>
      </c>
      <c r="E369" s="3" t="s">
        <v>20</v>
      </c>
      <c r="F369" s="3" t="s">
        <v>32</v>
      </c>
      <c r="G369" s="3" t="s">
        <v>15</v>
      </c>
      <c r="H369" s="3" t="s">
        <v>1167</v>
      </c>
      <c r="I369" s="3" t="s">
        <v>1168</v>
      </c>
      <c r="J369" s="3" t="s">
        <v>35</v>
      </c>
      <c r="K369" s="3">
        <v>229.02</v>
      </c>
      <c r="L369" s="3">
        <v>7</v>
      </c>
      <c r="M369" s="3">
        <v>62.65</v>
      </c>
      <c r="N369" s="3">
        <v>7.0000000000000007E-2</v>
      </c>
    </row>
    <row r="370" spans="3:14" ht="15" customHeight="1">
      <c r="C370" s="3" t="s">
        <v>716</v>
      </c>
      <c r="D370" s="25">
        <v>45703</v>
      </c>
      <c r="E370" s="3" t="s">
        <v>41</v>
      </c>
      <c r="F370" s="3" t="s">
        <v>14</v>
      </c>
      <c r="G370" s="3" t="s">
        <v>15</v>
      </c>
      <c r="H370" s="3" t="s">
        <v>717</v>
      </c>
      <c r="I370" s="3" t="s">
        <v>718</v>
      </c>
      <c r="J370" s="3" t="s">
        <v>35</v>
      </c>
      <c r="K370" s="3">
        <v>221.27</v>
      </c>
      <c r="L370" s="3">
        <v>1</v>
      </c>
      <c r="M370" s="3">
        <v>74.400000000000006</v>
      </c>
      <c r="N370" s="3">
        <v>0.25</v>
      </c>
    </row>
    <row r="371" spans="3:14" ht="15" hidden="1" customHeight="1">
      <c r="C371" s="3" t="s">
        <v>440</v>
      </c>
      <c r="D371" s="25">
        <v>45863</v>
      </c>
      <c r="E371" s="3" t="s">
        <v>28</v>
      </c>
      <c r="F371" s="3" t="s">
        <v>14</v>
      </c>
      <c r="G371" s="3" t="s">
        <v>15</v>
      </c>
      <c r="H371" s="3" t="s">
        <v>441</v>
      </c>
      <c r="I371" s="3" t="s">
        <v>442</v>
      </c>
      <c r="J371" s="3" t="s">
        <v>18</v>
      </c>
      <c r="K371" s="3">
        <v>217.83</v>
      </c>
      <c r="L371" s="3">
        <v>2</v>
      </c>
      <c r="M371" s="3">
        <v>31.22</v>
      </c>
      <c r="N371" s="3">
        <v>0.16</v>
      </c>
    </row>
    <row r="372" spans="3:14" ht="15" hidden="1" customHeight="1">
      <c r="C372" s="3" t="s">
        <v>581</v>
      </c>
      <c r="D372" s="25">
        <v>45886</v>
      </c>
      <c r="E372" s="3" t="s">
        <v>28</v>
      </c>
      <c r="F372" s="3" t="s">
        <v>32</v>
      </c>
      <c r="G372" s="3" t="s">
        <v>15</v>
      </c>
      <c r="H372" s="3" t="s">
        <v>582</v>
      </c>
      <c r="I372" s="3" t="s">
        <v>583</v>
      </c>
      <c r="J372" s="3" t="s">
        <v>35</v>
      </c>
      <c r="K372" s="3">
        <v>217.73</v>
      </c>
      <c r="L372" s="3">
        <v>4</v>
      </c>
      <c r="M372" s="3">
        <v>41.55</v>
      </c>
      <c r="N372" s="3">
        <v>0.06</v>
      </c>
    </row>
    <row r="373" spans="3:14" ht="15" hidden="1" customHeight="1">
      <c r="C373" s="3" t="s">
        <v>557</v>
      </c>
      <c r="D373" s="25">
        <v>45800</v>
      </c>
      <c r="E373" s="3" t="s">
        <v>13</v>
      </c>
      <c r="F373" s="3" t="s">
        <v>14</v>
      </c>
      <c r="G373" s="3" t="s">
        <v>15</v>
      </c>
      <c r="H373" s="3" t="s">
        <v>558</v>
      </c>
      <c r="I373" s="3" t="s">
        <v>559</v>
      </c>
      <c r="J373" s="3" t="s">
        <v>35</v>
      </c>
      <c r="K373" s="3">
        <v>217.44</v>
      </c>
      <c r="L373" s="3">
        <v>2</v>
      </c>
      <c r="M373" s="3">
        <v>85.65</v>
      </c>
      <c r="N373" s="3">
        <v>0.2</v>
      </c>
    </row>
    <row r="374" spans="3:14" ht="15" hidden="1" customHeight="1">
      <c r="C374" s="3" t="s">
        <v>1151</v>
      </c>
      <c r="D374" s="25">
        <v>45771</v>
      </c>
      <c r="E374" s="3" t="s">
        <v>28</v>
      </c>
      <c r="F374" s="3" t="s">
        <v>14</v>
      </c>
      <c r="G374" s="3" t="s">
        <v>15</v>
      </c>
      <c r="H374" s="3" t="s">
        <v>1152</v>
      </c>
      <c r="I374" s="3" t="s">
        <v>1153</v>
      </c>
      <c r="J374" s="3" t="s">
        <v>18</v>
      </c>
      <c r="K374" s="3">
        <v>213.88</v>
      </c>
      <c r="L374" s="3">
        <v>5</v>
      </c>
      <c r="M374" s="3">
        <v>23.76</v>
      </c>
      <c r="N374" s="3">
        <v>0.19</v>
      </c>
    </row>
    <row r="375" spans="3:14" ht="15" hidden="1" customHeight="1">
      <c r="C375" s="3" t="s">
        <v>482</v>
      </c>
      <c r="D375" s="25">
        <v>45749</v>
      </c>
      <c r="E375" s="3" t="s">
        <v>28</v>
      </c>
      <c r="F375" s="3" t="s">
        <v>21</v>
      </c>
      <c r="G375" s="3" t="s">
        <v>15</v>
      </c>
      <c r="H375" s="3" t="s">
        <v>483</v>
      </c>
      <c r="I375" s="3" t="s">
        <v>484</v>
      </c>
      <c r="J375" s="3" t="s">
        <v>35</v>
      </c>
      <c r="K375" s="3">
        <v>196.91</v>
      </c>
      <c r="L375" s="3">
        <v>6</v>
      </c>
      <c r="M375" s="3">
        <v>71.84</v>
      </c>
      <c r="N375" s="3">
        <v>0.01</v>
      </c>
    </row>
    <row r="376" spans="3:14" ht="15" hidden="1" customHeight="1">
      <c r="C376" s="3" t="s">
        <v>371</v>
      </c>
      <c r="D376" s="25">
        <v>45680</v>
      </c>
      <c r="E376" s="3" t="s">
        <v>28</v>
      </c>
      <c r="F376" s="3" t="s">
        <v>32</v>
      </c>
      <c r="G376" s="3" t="s">
        <v>15</v>
      </c>
      <c r="H376" s="3" t="s">
        <v>372</v>
      </c>
      <c r="I376" s="3" t="s">
        <v>373</v>
      </c>
      <c r="J376" s="3" t="s">
        <v>35</v>
      </c>
      <c r="K376" s="3">
        <v>196.35</v>
      </c>
      <c r="L376" s="3">
        <v>3</v>
      </c>
      <c r="M376" s="3">
        <v>71.41</v>
      </c>
      <c r="N376" s="3">
        <v>0.27</v>
      </c>
    </row>
    <row r="377" spans="3:14" ht="15" hidden="1" customHeight="1">
      <c r="C377" s="3" t="s">
        <v>113</v>
      </c>
      <c r="D377" s="25">
        <v>45858</v>
      </c>
      <c r="E377" s="3" t="s">
        <v>28</v>
      </c>
      <c r="F377" s="3" t="s">
        <v>32</v>
      </c>
      <c r="G377" s="3" t="s">
        <v>15</v>
      </c>
      <c r="H377" s="3" t="s">
        <v>114</v>
      </c>
      <c r="I377" s="3" t="s">
        <v>115</v>
      </c>
      <c r="J377" s="3" t="s">
        <v>35</v>
      </c>
      <c r="K377" s="3">
        <v>194.86</v>
      </c>
      <c r="L377" s="3">
        <v>5</v>
      </c>
      <c r="M377" s="3">
        <v>69.540000000000006</v>
      </c>
      <c r="N377" s="3">
        <v>0.08</v>
      </c>
    </row>
    <row r="378" spans="3:14" ht="15" hidden="1" customHeight="1">
      <c r="C378" s="3" t="s">
        <v>686</v>
      </c>
      <c r="D378" s="25">
        <v>45782</v>
      </c>
      <c r="E378" s="3" t="s">
        <v>41</v>
      </c>
      <c r="F378" s="3" t="s">
        <v>21</v>
      </c>
      <c r="G378" s="3" t="s">
        <v>15</v>
      </c>
      <c r="H378" s="3" t="s">
        <v>687</v>
      </c>
      <c r="I378" s="3" t="s">
        <v>688</v>
      </c>
      <c r="J378" s="3" t="s">
        <v>18</v>
      </c>
      <c r="K378" s="3">
        <v>193.75</v>
      </c>
      <c r="L378" s="3">
        <v>1</v>
      </c>
      <c r="M378" s="3">
        <v>21.8</v>
      </c>
      <c r="N378" s="3">
        <v>0.26</v>
      </c>
    </row>
    <row r="379" spans="3:14" ht="15" customHeight="1">
      <c r="C379" s="3" t="s">
        <v>128</v>
      </c>
      <c r="D379" s="25">
        <v>45951</v>
      </c>
      <c r="E379" s="3" t="s">
        <v>41</v>
      </c>
      <c r="F379" s="3" t="s">
        <v>14</v>
      </c>
      <c r="G379" s="3" t="s">
        <v>15</v>
      </c>
      <c r="H379" s="3" t="s">
        <v>129</v>
      </c>
      <c r="I379" s="3" t="s">
        <v>130</v>
      </c>
      <c r="J379" s="3" t="s">
        <v>39</v>
      </c>
      <c r="K379" s="3">
        <v>192.67</v>
      </c>
      <c r="L379" s="3">
        <v>8</v>
      </c>
      <c r="M379" s="3">
        <v>35.729999999999997</v>
      </c>
      <c r="N379" s="3">
        <v>0.25</v>
      </c>
    </row>
    <row r="380" spans="3:14" ht="15" customHeight="1">
      <c r="C380" s="3" t="s">
        <v>194</v>
      </c>
      <c r="D380" s="25">
        <v>45698</v>
      </c>
      <c r="E380" s="3" t="s">
        <v>41</v>
      </c>
      <c r="F380" s="3" t="s">
        <v>14</v>
      </c>
      <c r="G380" s="3" t="s">
        <v>15</v>
      </c>
      <c r="H380" s="3" t="s">
        <v>195</v>
      </c>
      <c r="I380" s="3" t="s">
        <v>196</v>
      </c>
      <c r="J380" s="3" t="s">
        <v>18</v>
      </c>
      <c r="K380" s="3">
        <v>188.39</v>
      </c>
      <c r="L380" s="3">
        <v>6</v>
      </c>
      <c r="M380" s="3">
        <v>23.26</v>
      </c>
      <c r="N380" s="3">
        <v>0.26</v>
      </c>
    </row>
    <row r="381" spans="3:14" ht="15" hidden="1" customHeight="1">
      <c r="C381" s="3" t="s">
        <v>1055</v>
      </c>
      <c r="D381" s="25">
        <v>45674</v>
      </c>
      <c r="E381" s="3" t="s">
        <v>41</v>
      </c>
      <c r="F381" s="3" t="s">
        <v>21</v>
      </c>
      <c r="G381" s="3" t="s">
        <v>15</v>
      </c>
      <c r="H381" s="3" t="s">
        <v>1056</v>
      </c>
      <c r="I381" s="3" t="s">
        <v>1057</v>
      </c>
      <c r="J381" s="3" t="s">
        <v>18</v>
      </c>
      <c r="K381" s="3">
        <v>188.36</v>
      </c>
      <c r="L381" s="3">
        <v>4</v>
      </c>
      <c r="M381" s="3">
        <v>65.81</v>
      </c>
      <c r="N381" s="3">
        <v>0.28000000000000003</v>
      </c>
    </row>
    <row r="382" spans="3:14" ht="15" hidden="1" customHeight="1">
      <c r="C382" s="3" t="s">
        <v>629</v>
      </c>
      <c r="D382" s="25">
        <v>45884</v>
      </c>
      <c r="E382" s="3" t="s">
        <v>28</v>
      </c>
      <c r="F382" s="3" t="s">
        <v>32</v>
      </c>
      <c r="G382" s="3" t="s">
        <v>15</v>
      </c>
      <c r="H382" s="3" t="s">
        <v>630</v>
      </c>
      <c r="I382" s="3" t="s">
        <v>631</v>
      </c>
      <c r="J382" s="3" t="s">
        <v>39</v>
      </c>
      <c r="K382" s="3">
        <v>184</v>
      </c>
      <c r="L382" s="3">
        <v>3</v>
      </c>
      <c r="M382" s="3">
        <v>35.85</v>
      </c>
      <c r="N382" s="3">
        <v>0.28000000000000003</v>
      </c>
    </row>
    <row r="383" spans="3:14" ht="15" hidden="1" customHeight="1">
      <c r="C383" s="3" t="s">
        <v>197</v>
      </c>
      <c r="D383" s="25">
        <v>45815</v>
      </c>
      <c r="E383" s="3" t="s">
        <v>20</v>
      </c>
      <c r="F383" s="3" t="s">
        <v>21</v>
      </c>
      <c r="G383" s="3" t="s">
        <v>15</v>
      </c>
      <c r="H383" s="3" t="s">
        <v>198</v>
      </c>
      <c r="I383" s="3" t="s">
        <v>199</v>
      </c>
      <c r="J383" s="3" t="s">
        <v>18</v>
      </c>
      <c r="K383" s="3">
        <v>183.34</v>
      </c>
      <c r="L383" s="3">
        <v>5</v>
      </c>
      <c r="M383" s="3">
        <v>17.62</v>
      </c>
      <c r="N383" s="3">
        <v>0.16</v>
      </c>
    </row>
    <row r="384" spans="3:14" ht="15" hidden="1" customHeight="1">
      <c r="C384" s="3" t="s">
        <v>19</v>
      </c>
      <c r="D384" s="25">
        <v>45921</v>
      </c>
      <c r="E384" s="3" t="s">
        <v>20</v>
      </c>
      <c r="F384" s="3" t="s">
        <v>21</v>
      </c>
      <c r="G384" s="3" t="s">
        <v>15</v>
      </c>
      <c r="H384" s="3" t="s">
        <v>22</v>
      </c>
      <c r="I384" s="3" t="s">
        <v>23</v>
      </c>
      <c r="J384" s="3" t="s">
        <v>18</v>
      </c>
      <c r="K384" s="3">
        <v>182.55</v>
      </c>
      <c r="L384" s="3">
        <v>8</v>
      </c>
      <c r="M384" s="3">
        <v>44.65</v>
      </c>
      <c r="N384" s="3">
        <v>0.08</v>
      </c>
    </row>
    <row r="385" spans="3:14" ht="15" hidden="1" customHeight="1">
      <c r="C385" s="3" t="s">
        <v>158</v>
      </c>
      <c r="D385" s="25">
        <v>45677</v>
      </c>
      <c r="E385" s="3" t="s">
        <v>41</v>
      </c>
      <c r="F385" s="3" t="s">
        <v>32</v>
      </c>
      <c r="G385" s="3" t="s">
        <v>15</v>
      </c>
      <c r="H385" s="3" t="s">
        <v>159</v>
      </c>
      <c r="I385" s="3" t="s">
        <v>160</v>
      </c>
      <c r="J385" s="3" t="s">
        <v>35</v>
      </c>
      <c r="K385" s="3">
        <v>181.6</v>
      </c>
      <c r="L385" s="3">
        <v>5</v>
      </c>
      <c r="M385" s="3">
        <v>50.35</v>
      </c>
      <c r="N385" s="3">
        <v>0.05</v>
      </c>
    </row>
    <row r="386" spans="3:14" ht="15" hidden="1" customHeight="1">
      <c r="C386" s="3" t="s">
        <v>1088</v>
      </c>
      <c r="D386" s="25">
        <v>45911</v>
      </c>
      <c r="E386" s="3" t="s">
        <v>13</v>
      </c>
      <c r="F386" s="3" t="s">
        <v>14</v>
      </c>
      <c r="G386" s="3" t="s">
        <v>15</v>
      </c>
      <c r="H386" s="3" t="s">
        <v>1089</v>
      </c>
      <c r="I386" s="3" t="s">
        <v>1090</v>
      </c>
      <c r="J386" s="3" t="s">
        <v>39</v>
      </c>
      <c r="K386" s="3">
        <v>181.22</v>
      </c>
      <c r="L386" s="3">
        <v>1</v>
      </c>
      <c r="M386" s="3">
        <v>30.59</v>
      </c>
      <c r="N386" s="3">
        <v>0.12</v>
      </c>
    </row>
    <row r="387" spans="3:14" ht="15" hidden="1" customHeight="1">
      <c r="C387" s="3" t="s">
        <v>278</v>
      </c>
      <c r="D387" s="25">
        <v>46002</v>
      </c>
      <c r="E387" s="3" t="s">
        <v>20</v>
      </c>
      <c r="F387" s="3" t="s">
        <v>21</v>
      </c>
      <c r="G387" s="3" t="s">
        <v>15</v>
      </c>
      <c r="H387" s="3" t="s">
        <v>279</v>
      </c>
      <c r="I387" s="3" t="s">
        <v>280</v>
      </c>
      <c r="J387" s="3" t="s">
        <v>18</v>
      </c>
      <c r="K387" s="3">
        <v>163.66999999999999</v>
      </c>
      <c r="L387" s="3">
        <v>1</v>
      </c>
      <c r="M387" s="3">
        <v>47.8</v>
      </c>
      <c r="N387" s="3">
        <v>0.02</v>
      </c>
    </row>
    <row r="388" spans="3:14" ht="15" customHeight="1">
      <c r="C388" s="3" t="s">
        <v>824</v>
      </c>
      <c r="D388" s="25">
        <v>45780</v>
      </c>
      <c r="E388" s="3" t="s">
        <v>41</v>
      </c>
      <c r="F388" s="3" t="s">
        <v>14</v>
      </c>
      <c r="G388" s="3" t="s">
        <v>15</v>
      </c>
      <c r="H388" s="3" t="s">
        <v>825</v>
      </c>
      <c r="I388" s="3" t="s">
        <v>826</v>
      </c>
      <c r="J388" s="3" t="s">
        <v>18</v>
      </c>
      <c r="K388" s="3">
        <v>159.16</v>
      </c>
      <c r="L388" s="3">
        <v>4</v>
      </c>
      <c r="M388" s="3">
        <v>46.44</v>
      </c>
      <c r="N388" s="3">
        <v>0.27</v>
      </c>
    </row>
    <row r="389" spans="3:14" ht="15" hidden="1" customHeight="1">
      <c r="C389" s="3" t="s">
        <v>101</v>
      </c>
      <c r="D389" s="25">
        <v>45979</v>
      </c>
      <c r="E389" s="3" t="s">
        <v>28</v>
      </c>
      <c r="F389" s="3" t="s">
        <v>14</v>
      </c>
      <c r="G389" s="3" t="s">
        <v>15</v>
      </c>
      <c r="H389" s="3" t="s">
        <v>102</v>
      </c>
      <c r="I389" s="3" t="s">
        <v>103</v>
      </c>
      <c r="J389" s="3" t="s">
        <v>18</v>
      </c>
      <c r="K389" s="3">
        <v>159.15</v>
      </c>
      <c r="L389" s="3">
        <v>6</v>
      </c>
      <c r="M389" s="3">
        <v>35.229999999999997</v>
      </c>
      <c r="N389" s="3">
        <v>0.18</v>
      </c>
    </row>
    <row r="390" spans="3:14" ht="15" hidden="1" customHeight="1">
      <c r="C390" s="3" t="s">
        <v>335</v>
      </c>
      <c r="D390" s="25">
        <v>45782</v>
      </c>
      <c r="E390" s="3" t="s">
        <v>13</v>
      </c>
      <c r="F390" s="3" t="s">
        <v>32</v>
      </c>
      <c r="G390" s="3" t="s">
        <v>15</v>
      </c>
      <c r="H390" s="3" t="s">
        <v>336</v>
      </c>
      <c r="I390" s="3" t="s">
        <v>337</v>
      </c>
      <c r="J390" s="3" t="s">
        <v>18</v>
      </c>
      <c r="K390" s="3">
        <v>158.16</v>
      </c>
      <c r="L390" s="3">
        <v>10</v>
      </c>
      <c r="M390" s="3">
        <v>24.33</v>
      </c>
      <c r="N390" s="3">
        <v>0.18</v>
      </c>
    </row>
    <row r="391" spans="3:14" ht="15" hidden="1" customHeight="1">
      <c r="C391" s="3" t="s">
        <v>800</v>
      </c>
      <c r="D391" s="25">
        <v>45984</v>
      </c>
      <c r="E391" s="3" t="s">
        <v>28</v>
      </c>
      <c r="F391" s="3" t="s">
        <v>32</v>
      </c>
      <c r="G391" s="3" t="s">
        <v>15</v>
      </c>
      <c r="H391" s="3" t="s">
        <v>801</v>
      </c>
      <c r="I391" s="3" t="s">
        <v>802</v>
      </c>
      <c r="J391" s="3" t="s">
        <v>35</v>
      </c>
      <c r="K391" s="3">
        <v>157.41999999999999</v>
      </c>
      <c r="L391" s="3">
        <v>9</v>
      </c>
      <c r="M391" s="3">
        <v>15.3</v>
      </c>
      <c r="N391" s="3">
        <v>0.03</v>
      </c>
    </row>
    <row r="392" spans="3:14" ht="15" hidden="1" customHeight="1">
      <c r="C392" s="3" t="s">
        <v>566</v>
      </c>
      <c r="D392" s="25">
        <v>45850</v>
      </c>
      <c r="E392" s="3" t="s">
        <v>13</v>
      </c>
      <c r="F392" s="3" t="s">
        <v>21</v>
      </c>
      <c r="G392" s="3" t="s">
        <v>15</v>
      </c>
      <c r="H392" s="3" t="s">
        <v>567</v>
      </c>
      <c r="I392" s="3" t="s">
        <v>568</v>
      </c>
      <c r="J392" s="3" t="s">
        <v>39</v>
      </c>
      <c r="K392" s="3">
        <v>154.88999999999999</v>
      </c>
      <c r="L392" s="3">
        <v>6</v>
      </c>
      <c r="M392" s="3">
        <v>47.4</v>
      </c>
      <c r="N392" s="3">
        <v>0.09</v>
      </c>
    </row>
    <row r="393" spans="3:14" ht="15" hidden="1" customHeight="1">
      <c r="C393" s="3" t="s">
        <v>1076</v>
      </c>
      <c r="D393" s="25">
        <v>45980</v>
      </c>
      <c r="E393" s="3" t="s">
        <v>13</v>
      </c>
      <c r="F393" s="3" t="s">
        <v>32</v>
      </c>
      <c r="G393" s="3" t="s">
        <v>15</v>
      </c>
      <c r="H393" s="3" t="s">
        <v>1077</v>
      </c>
      <c r="I393" s="3" t="s">
        <v>1078</v>
      </c>
      <c r="J393" s="3" t="s">
        <v>39</v>
      </c>
      <c r="K393" s="3">
        <v>144.57</v>
      </c>
      <c r="L393" s="3">
        <v>1</v>
      </c>
      <c r="M393" s="3">
        <v>24.97</v>
      </c>
      <c r="N393" s="3">
        <v>0.23</v>
      </c>
    </row>
    <row r="394" spans="3:14" ht="15" hidden="1" customHeight="1">
      <c r="C394" s="3" t="s">
        <v>821</v>
      </c>
      <c r="D394" s="25">
        <v>45671</v>
      </c>
      <c r="E394" s="3" t="s">
        <v>28</v>
      </c>
      <c r="F394" s="3" t="s">
        <v>14</v>
      </c>
      <c r="G394" s="3" t="s">
        <v>15</v>
      </c>
      <c r="H394" s="3" t="s">
        <v>822</v>
      </c>
      <c r="I394" s="3" t="s">
        <v>823</v>
      </c>
      <c r="J394" s="3" t="s">
        <v>35</v>
      </c>
      <c r="K394" s="3">
        <v>143.51</v>
      </c>
      <c r="L394" s="3">
        <v>9</v>
      </c>
      <c r="M394" s="3">
        <v>22.28</v>
      </c>
      <c r="N394" s="3">
        <v>0.1</v>
      </c>
    </row>
    <row r="395" spans="3:14" ht="15" hidden="1" customHeight="1">
      <c r="C395" s="3" t="s">
        <v>131</v>
      </c>
      <c r="D395" s="25">
        <v>45941</v>
      </c>
      <c r="E395" s="3" t="s">
        <v>41</v>
      </c>
      <c r="F395" s="3" t="s">
        <v>14</v>
      </c>
      <c r="G395" s="3" t="s">
        <v>15</v>
      </c>
      <c r="H395" s="3" t="s">
        <v>132</v>
      </c>
      <c r="I395" s="3" t="s">
        <v>133</v>
      </c>
      <c r="J395" s="3" t="s">
        <v>18</v>
      </c>
      <c r="K395" s="3">
        <v>134.30000000000001</v>
      </c>
      <c r="L395" s="3">
        <v>7</v>
      </c>
      <c r="M395" s="3">
        <v>30.2</v>
      </c>
      <c r="N395" s="3">
        <v>0.14000000000000001</v>
      </c>
    </row>
    <row r="396" spans="3:14" ht="15" hidden="1" customHeight="1">
      <c r="C396" s="3" t="s">
        <v>710</v>
      </c>
      <c r="D396" s="25">
        <v>46004</v>
      </c>
      <c r="E396" s="3" t="s">
        <v>20</v>
      </c>
      <c r="F396" s="3" t="s">
        <v>21</v>
      </c>
      <c r="G396" s="3" t="s">
        <v>15</v>
      </c>
      <c r="H396" s="3" t="s">
        <v>711</v>
      </c>
      <c r="I396" s="3" t="s">
        <v>712</v>
      </c>
      <c r="J396" s="3" t="s">
        <v>39</v>
      </c>
      <c r="K396" s="3">
        <v>133.5</v>
      </c>
      <c r="L396" s="3">
        <v>5</v>
      </c>
      <c r="M396" s="3">
        <v>51.2</v>
      </c>
      <c r="N396" s="3">
        <v>0.15</v>
      </c>
    </row>
    <row r="397" spans="3:14" ht="15" hidden="1" customHeight="1">
      <c r="C397" s="3" t="s">
        <v>1142</v>
      </c>
      <c r="D397" s="25">
        <v>45729</v>
      </c>
      <c r="E397" s="3" t="s">
        <v>20</v>
      </c>
      <c r="F397" s="3" t="s">
        <v>14</v>
      </c>
      <c r="G397" s="3" t="s">
        <v>15</v>
      </c>
      <c r="H397" s="3" t="s">
        <v>1143</v>
      </c>
      <c r="I397" s="3" t="s">
        <v>1144</v>
      </c>
      <c r="J397" s="3" t="s">
        <v>35</v>
      </c>
      <c r="K397" s="3">
        <v>126.92</v>
      </c>
      <c r="L397" s="3">
        <v>8</v>
      </c>
      <c r="M397" s="3">
        <v>28.47</v>
      </c>
      <c r="N397" s="3">
        <v>0.12</v>
      </c>
    </row>
    <row r="398" spans="3:14" ht="15" hidden="1" customHeight="1">
      <c r="C398" s="3" t="s">
        <v>812</v>
      </c>
      <c r="D398" s="25">
        <v>45676</v>
      </c>
      <c r="E398" s="3" t="s">
        <v>13</v>
      </c>
      <c r="F398" s="3" t="s">
        <v>21</v>
      </c>
      <c r="G398" s="3" t="s">
        <v>15</v>
      </c>
      <c r="H398" s="3" t="s">
        <v>813</v>
      </c>
      <c r="I398" s="3" t="s">
        <v>814</v>
      </c>
      <c r="J398" s="3" t="s">
        <v>35</v>
      </c>
      <c r="K398" s="3">
        <v>119.24</v>
      </c>
      <c r="L398" s="3">
        <v>7</v>
      </c>
      <c r="M398" s="3">
        <v>38.68</v>
      </c>
      <c r="N398" s="3">
        <v>0.25</v>
      </c>
    </row>
    <row r="399" spans="3:14" ht="15" hidden="1" customHeight="1">
      <c r="C399" s="3" t="s">
        <v>689</v>
      </c>
      <c r="D399" s="25">
        <v>46003</v>
      </c>
      <c r="E399" s="3" t="s">
        <v>41</v>
      </c>
      <c r="F399" s="3" t="s">
        <v>14</v>
      </c>
      <c r="G399" s="3" t="s">
        <v>15</v>
      </c>
      <c r="H399" s="3" t="s">
        <v>690</v>
      </c>
      <c r="I399" s="3" t="s">
        <v>691</v>
      </c>
      <c r="J399" s="3" t="s">
        <v>35</v>
      </c>
      <c r="K399" s="3">
        <v>118.96</v>
      </c>
      <c r="L399" s="3">
        <v>2</v>
      </c>
      <c r="M399" s="3">
        <v>13.06</v>
      </c>
      <c r="N399" s="3">
        <v>0.09</v>
      </c>
    </row>
    <row r="400" spans="3:14" ht="15" hidden="1" customHeight="1">
      <c r="C400" s="3" t="s">
        <v>743</v>
      </c>
      <c r="D400" s="25">
        <v>45781</v>
      </c>
      <c r="E400" s="3" t="s">
        <v>20</v>
      </c>
      <c r="F400" s="3" t="s">
        <v>21</v>
      </c>
      <c r="G400" s="3" t="s">
        <v>15</v>
      </c>
      <c r="H400" s="3" t="s">
        <v>744</v>
      </c>
      <c r="I400" s="3" t="s">
        <v>745</v>
      </c>
      <c r="J400" s="3" t="s">
        <v>35</v>
      </c>
      <c r="K400" s="3">
        <v>108.57</v>
      </c>
      <c r="L400" s="3">
        <v>8</v>
      </c>
      <c r="M400" s="3">
        <v>11.43</v>
      </c>
      <c r="N400" s="3">
        <v>0.11</v>
      </c>
    </row>
    <row r="401" spans="3:14" ht="15" hidden="1" customHeight="1">
      <c r="C401" s="3" t="s">
        <v>1049</v>
      </c>
      <c r="D401" s="25">
        <v>45883</v>
      </c>
      <c r="E401" s="3" t="s">
        <v>28</v>
      </c>
      <c r="F401" s="3" t="s">
        <v>32</v>
      </c>
      <c r="G401" s="3" t="s">
        <v>15</v>
      </c>
      <c r="H401" s="3" t="s">
        <v>1050</v>
      </c>
      <c r="I401" s="3" t="s">
        <v>1051</v>
      </c>
      <c r="J401" s="3" t="s">
        <v>35</v>
      </c>
      <c r="K401" s="3">
        <v>107.22</v>
      </c>
      <c r="L401" s="3">
        <v>5</v>
      </c>
      <c r="M401" s="3">
        <v>26.18</v>
      </c>
      <c r="N401" s="3">
        <v>0.24</v>
      </c>
    </row>
  </sheetData>
  <autoFilter ref="C1:N401" xr:uid="{00000000-0001-0000-0300-000000000000}">
    <filterColumn colId="3">
      <filters>
        <filter val="Technology"/>
      </filters>
    </filterColumn>
    <filterColumn colId="10">
      <customFilters>
        <customFilter operator="greaterThan" val="0.2"/>
      </customFilters>
    </filterColumn>
    <filterColumn colId="11">
      <customFilters>
        <customFilter operator="greaterThan" val="0.2"/>
      </customFilters>
    </filterColumn>
    <sortState xmlns:xlrd2="http://schemas.microsoft.com/office/spreadsheetml/2017/richdata2" ref="C2:N401">
      <sortCondition descending="1" ref="K1"/>
    </sortState>
  </autoFilter>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N401"/>
  <sheetViews>
    <sheetView workbookViewId="0">
      <selection activeCell="A15" sqref="A15"/>
    </sheetView>
  </sheetViews>
  <sheetFormatPr defaultColWidth="14.44140625" defaultRowHeight="15" customHeight="1"/>
  <cols>
    <col min="1" max="1" width="42" bestFit="1" customWidth="1"/>
    <col min="2" max="3" width="9.6640625" bestFit="1" customWidth="1"/>
    <col min="4" max="4" width="10.33203125" bestFit="1" customWidth="1"/>
    <col min="5" max="5" width="6.77734375" bestFit="1" customWidth="1"/>
    <col min="6" max="6" width="13.109375" bestFit="1" customWidth="1"/>
    <col min="7" max="7" width="12.77734375" bestFit="1" customWidth="1"/>
    <col min="8" max="8" width="10.33203125" bestFit="1" customWidth="1"/>
    <col min="9" max="9" width="9.109375" bestFit="1" customWidth="1"/>
    <col min="10" max="10" width="11.33203125" bestFit="1" customWidth="1"/>
    <col min="11" max="11" width="8" bestFit="1" customWidth="1"/>
    <col min="12" max="12" width="8.33203125" bestFit="1" customWidth="1"/>
    <col min="13" max="13" width="7" bestFit="1" customWidth="1"/>
    <col min="14" max="14" width="8.33203125" bestFit="1" customWidth="1"/>
  </cols>
  <sheetData>
    <row r="1" spans="1:14" ht="14.4">
      <c r="A1" s="13" t="s">
        <v>1223</v>
      </c>
      <c r="C1" s="2" t="s">
        <v>0</v>
      </c>
      <c r="D1" s="2" t="s">
        <v>1</v>
      </c>
      <c r="E1" s="2" t="s">
        <v>2</v>
      </c>
      <c r="F1" s="2" t="s">
        <v>3</v>
      </c>
      <c r="G1" s="2" t="s">
        <v>4</v>
      </c>
      <c r="H1" s="2" t="s">
        <v>5</v>
      </c>
      <c r="I1" s="2" t="s">
        <v>6</v>
      </c>
      <c r="J1" s="2" t="s">
        <v>7</v>
      </c>
      <c r="K1" s="2" t="s">
        <v>8</v>
      </c>
      <c r="L1" s="2" t="s">
        <v>9</v>
      </c>
      <c r="M1" s="2" t="s">
        <v>10</v>
      </c>
      <c r="N1" s="2" t="s">
        <v>11</v>
      </c>
    </row>
    <row r="2" spans="1:14" ht="14.4">
      <c r="A2" s="14" t="s">
        <v>1245</v>
      </c>
      <c r="C2" s="3" t="s">
        <v>12</v>
      </c>
      <c r="D2" s="25">
        <v>45954</v>
      </c>
      <c r="E2" s="3" t="s">
        <v>13</v>
      </c>
      <c r="F2" s="3" t="s">
        <v>14</v>
      </c>
      <c r="G2" s="3" t="s">
        <v>15</v>
      </c>
      <c r="H2" s="3" t="s">
        <v>16</v>
      </c>
      <c r="I2" s="3" t="s">
        <v>17</v>
      </c>
      <c r="J2" s="3" t="s">
        <v>18</v>
      </c>
      <c r="K2" s="3">
        <v>971.62</v>
      </c>
      <c r="L2" s="3">
        <v>5</v>
      </c>
      <c r="M2" s="3">
        <v>327.08999999999997</v>
      </c>
      <c r="N2" s="3">
        <v>0.1</v>
      </c>
    </row>
    <row r="3" spans="1:14" ht="14.4">
      <c r="A3" s="21" t="s">
        <v>1280</v>
      </c>
      <c r="C3" s="3" t="s">
        <v>19</v>
      </c>
      <c r="D3" s="25">
        <v>45921</v>
      </c>
      <c r="E3" s="3" t="s">
        <v>20</v>
      </c>
      <c r="F3" s="3" t="s">
        <v>21</v>
      </c>
      <c r="G3" s="3" t="s">
        <v>15</v>
      </c>
      <c r="H3" s="3" t="s">
        <v>22</v>
      </c>
      <c r="I3" s="3" t="s">
        <v>23</v>
      </c>
      <c r="J3" s="3" t="s">
        <v>18</v>
      </c>
      <c r="K3" s="3">
        <v>182.55</v>
      </c>
      <c r="L3" s="3">
        <v>8</v>
      </c>
      <c r="M3" s="3">
        <v>44.65</v>
      </c>
      <c r="N3" s="3">
        <v>0.08</v>
      </c>
    </row>
    <row r="4" spans="1:14" ht="14.4">
      <c r="A4" s="21" t="s">
        <v>1281</v>
      </c>
      <c r="C4" s="3" t="s">
        <v>24</v>
      </c>
      <c r="D4" s="25">
        <v>45675</v>
      </c>
      <c r="E4" s="3" t="s">
        <v>13</v>
      </c>
      <c r="F4" s="3" t="s">
        <v>14</v>
      </c>
      <c r="G4" s="3" t="s">
        <v>15</v>
      </c>
      <c r="H4" s="3" t="s">
        <v>25</v>
      </c>
      <c r="I4" s="3" t="s">
        <v>26</v>
      </c>
      <c r="J4" s="3" t="s">
        <v>18</v>
      </c>
      <c r="K4" s="3">
        <v>298.11</v>
      </c>
      <c r="L4" s="3">
        <v>4</v>
      </c>
      <c r="M4" s="3">
        <v>109.47</v>
      </c>
      <c r="N4" s="3">
        <v>0.08</v>
      </c>
    </row>
    <row r="5" spans="1:14" ht="14.4">
      <c r="A5" s="14"/>
      <c r="C5" s="3" t="s">
        <v>27</v>
      </c>
      <c r="D5" s="25">
        <v>45658</v>
      </c>
      <c r="E5" s="3" t="s">
        <v>28</v>
      </c>
      <c r="F5" s="3" t="s">
        <v>14</v>
      </c>
      <c r="G5" s="3" t="s">
        <v>15</v>
      </c>
      <c r="H5" s="3" t="s">
        <v>29</v>
      </c>
      <c r="I5" s="3" t="s">
        <v>30</v>
      </c>
      <c r="J5" s="3" t="s">
        <v>18</v>
      </c>
      <c r="K5" s="3">
        <v>713.06</v>
      </c>
      <c r="L5" s="3">
        <v>1</v>
      </c>
      <c r="M5" s="3">
        <v>186.05</v>
      </c>
      <c r="N5" s="3">
        <v>0.1</v>
      </c>
    </row>
    <row r="6" spans="1:14" thickBot="1">
      <c r="A6" s="15"/>
      <c r="C6" s="3" t="s">
        <v>31</v>
      </c>
      <c r="D6" s="25">
        <v>45722</v>
      </c>
      <c r="E6" s="3" t="s">
        <v>28</v>
      </c>
      <c r="F6" s="3" t="s">
        <v>32</v>
      </c>
      <c r="G6" s="3" t="s">
        <v>15</v>
      </c>
      <c r="H6" s="3" t="s">
        <v>33</v>
      </c>
      <c r="I6" s="3" t="s">
        <v>34</v>
      </c>
      <c r="J6" s="3" t="s">
        <v>35</v>
      </c>
      <c r="K6" s="3">
        <v>1037.92</v>
      </c>
      <c r="L6" s="3">
        <v>2</v>
      </c>
      <c r="M6" s="3">
        <v>393.31</v>
      </c>
      <c r="N6" s="3">
        <v>0.06</v>
      </c>
    </row>
    <row r="7" spans="1:14" ht="14.4">
      <c r="C7" s="3" t="s">
        <v>36</v>
      </c>
      <c r="D7" s="25">
        <v>45975</v>
      </c>
      <c r="E7" s="3" t="s">
        <v>28</v>
      </c>
      <c r="F7" s="3" t="s">
        <v>14</v>
      </c>
      <c r="G7" s="3" t="s">
        <v>15</v>
      </c>
      <c r="H7" s="3" t="s">
        <v>37</v>
      </c>
      <c r="I7" s="3" t="s">
        <v>38</v>
      </c>
      <c r="J7" s="3" t="s">
        <v>39</v>
      </c>
      <c r="K7" s="3">
        <v>652.03</v>
      </c>
      <c r="L7" s="3">
        <v>5</v>
      </c>
      <c r="M7" s="3">
        <v>260.8</v>
      </c>
      <c r="N7" s="3">
        <v>0.17</v>
      </c>
    </row>
    <row r="8" spans="1:14" ht="14.4">
      <c r="C8" s="3" t="s">
        <v>40</v>
      </c>
      <c r="D8" s="25">
        <v>45692</v>
      </c>
      <c r="E8" s="3" t="s">
        <v>41</v>
      </c>
      <c r="F8" s="3" t="s">
        <v>32</v>
      </c>
      <c r="G8" s="3" t="s">
        <v>15</v>
      </c>
      <c r="H8" s="3" t="s">
        <v>42</v>
      </c>
      <c r="I8" s="3" t="s">
        <v>43</v>
      </c>
      <c r="J8" s="3" t="s">
        <v>18</v>
      </c>
      <c r="K8" s="3">
        <v>1260.49</v>
      </c>
      <c r="L8" s="3">
        <v>2</v>
      </c>
      <c r="M8" s="3">
        <v>365.39</v>
      </c>
      <c r="N8" s="3">
        <v>7.0000000000000007E-2</v>
      </c>
    </row>
    <row r="9" spans="1:14" ht="14.4">
      <c r="C9" s="3" t="s">
        <v>44</v>
      </c>
      <c r="D9" s="25">
        <v>45708</v>
      </c>
      <c r="E9" s="3" t="s">
        <v>28</v>
      </c>
      <c r="F9" s="3" t="s">
        <v>14</v>
      </c>
      <c r="G9" s="3" t="s">
        <v>15</v>
      </c>
      <c r="H9" s="3" t="s">
        <v>45</v>
      </c>
      <c r="I9" s="3" t="s">
        <v>46</v>
      </c>
      <c r="J9" s="3" t="s">
        <v>35</v>
      </c>
      <c r="K9" s="3">
        <v>1173.22</v>
      </c>
      <c r="L9" s="3">
        <v>8</v>
      </c>
      <c r="M9" s="3">
        <v>180.51</v>
      </c>
      <c r="N9" s="3">
        <v>0.21</v>
      </c>
    </row>
    <row r="10" spans="1:14" ht="14.4">
      <c r="C10" s="3" t="s">
        <v>47</v>
      </c>
      <c r="D10" s="25">
        <v>46005</v>
      </c>
      <c r="E10" s="3" t="s">
        <v>41</v>
      </c>
      <c r="F10" s="3" t="s">
        <v>21</v>
      </c>
      <c r="G10" s="3" t="s">
        <v>15</v>
      </c>
      <c r="H10" s="3" t="s">
        <v>48</v>
      </c>
      <c r="I10" s="3" t="s">
        <v>49</v>
      </c>
      <c r="J10" s="3" t="s">
        <v>18</v>
      </c>
      <c r="K10" s="3">
        <v>312.23</v>
      </c>
      <c r="L10" s="3">
        <v>9</v>
      </c>
      <c r="M10" s="3">
        <v>102.62</v>
      </c>
      <c r="N10" s="3">
        <v>0.17</v>
      </c>
    </row>
    <row r="11" spans="1:14" ht="14.4">
      <c r="C11" s="3" t="s">
        <v>50</v>
      </c>
      <c r="D11" s="25">
        <v>45778</v>
      </c>
      <c r="E11" s="3" t="s">
        <v>28</v>
      </c>
      <c r="F11" s="3" t="s">
        <v>32</v>
      </c>
      <c r="G11" s="3" t="s">
        <v>15</v>
      </c>
      <c r="H11" s="3" t="s">
        <v>51</v>
      </c>
      <c r="I11" s="3" t="s">
        <v>52</v>
      </c>
      <c r="J11" s="3" t="s">
        <v>18</v>
      </c>
      <c r="K11" s="3">
        <v>1797.94</v>
      </c>
      <c r="L11" s="3">
        <v>10</v>
      </c>
      <c r="M11" s="3">
        <v>632.53</v>
      </c>
      <c r="N11" s="3">
        <v>0.21</v>
      </c>
    </row>
    <row r="12" spans="1:14" ht="14.4">
      <c r="C12" s="3" t="s">
        <v>53</v>
      </c>
      <c r="D12" s="25">
        <v>45976</v>
      </c>
      <c r="E12" s="3" t="s">
        <v>41</v>
      </c>
      <c r="F12" s="3" t="s">
        <v>14</v>
      </c>
      <c r="G12" s="3" t="s">
        <v>15</v>
      </c>
      <c r="H12" s="3" t="s">
        <v>54</v>
      </c>
      <c r="I12" s="3" t="s">
        <v>55</v>
      </c>
      <c r="J12" s="3" t="s">
        <v>35</v>
      </c>
      <c r="K12" s="3">
        <v>1781.4</v>
      </c>
      <c r="L12" s="3">
        <v>1</v>
      </c>
      <c r="M12" s="3">
        <v>361.91</v>
      </c>
      <c r="N12" s="3">
        <v>0.18</v>
      </c>
    </row>
    <row r="13" spans="1:14" ht="14.4">
      <c r="C13" s="3" t="s">
        <v>56</v>
      </c>
      <c r="D13" s="25">
        <v>45928</v>
      </c>
      <c r="E13" s="3" t="s">
        <v>20</v>
      </c>
      <c r="F13" s="3" t="s">
        <v>32</v>
      </c>
      <c r="G13" s="3" t="s">
        <v>15</v>
      </c>
      <c r="H13" s="3" t="s">
        <v>57</v>
      </c>
      <c r="I13" s="3" t="s">
        <v>58</v>
      </c>
      <c r="J13" s="3" t="s">
        <v>35</v>
      </c>
      <c r="K13" s="3">
        <v>1205.07</v>
      </c>
      <c r="L13" s="3">
        <v>9</v>
      </c>
      <c r="M13" s="3">
        <v>367.14</v>
      </c>
      <c r="N13" s="3">
        <v>0.1</v>
      </c>
    </row>
    <row r="14" spans="1:14" ht="14.4">
      <c r="C14" s="3" t="s">
        <v>59</v>
      </c>
      <c r="D14" s="25">
        <v>45927</v>
      </c>
      <c r="E14" s="3" t="s">
        <v>28</v>
      </c>
      <c r="F14" s="3" t="s">
        <v>14</v>
      </c>
      <c r="G14" s="3" t="s">
        <v>15</v>
      </c>
      <c r="H14" s="3" t="s">
        <v>60</v>
      </c>
      <c r="I14" s="3" t="s">
        <v>61</v>
      </c>
      <c r="J14" s="3" t="s">
        <v>35</v>
      </c>
      <c r="K14" s="3">
        <v>913.99</v>
      </c>
      <c r="L14" s="3">
        <v>1</v>
      </c>
      <c r="M14" s="3">
        <v>324.67</v>
      </c>
      <c r="N14" s="3">
        <v>0.12</v>
      </c>
    </row>
    <row r="15" spans="1:14" ht="14.4">
      <c r="C15" s="3" t="s">
        <v>62</v>
      </c>
      <c r="D15" s="25">
        <v>45834</v>
      </c>
      <c r="E15" s="3" t="s">
        <v>20</v>
      </c>
      <c r="F15" s="3" t="s">
        <v>32</v>
      </c>
      <c r="G15" s="3" t="s">
        <v>15</v>
      </c>
      <c r="H15" s="3" t="s">
        <v>63</v>
      </c>
      <c r="I15" s="3" t="s">
        <v>64</v>
      </c>
      <c r="J15" s="3" t="s">
        <v>35</v>
      </c>
      <c r="K15" s="3">
        <v>738.88</v>
      </c>
      <c r="L15" s="3">
        <v>7</v>
      </c>
      <c r="M15" s="3">
        <v>95.17</v>
      </c>
      <c r="N15" s="3">
        <v>0.27</v>
      </c>
    </row>
    <row r="16" spans="1:14" ht="14.4">
      <c r="C16" s="3" t="s">
        <v>65</v>
      </c>
      <c r="D16" s="25">
        <v>45986</v>
      </c>
      <c r="E16" s="3" t="s">
        <v>28</v>
      </c>
      <c r="F16" s="3" t="s">
        <v>21</v>
      </c>
      <c r="G16" s="3" t="s">
        <v>15</v>
      </c>
      <c r="H16" s="3" t="s">
        <v>66</v>
      </c>
      <c r="I16" s="3" t="s">
        <v>67</v>
      </c>
      <c r="J16" s="3" t="s">
        <v>18</v>
      </c>
      <c r="K16" s="3">
        <v>750.85</v>
      </c>
      <c r="L16" s="3">
        <v>5</v>
      </c>
      <c r="M16" s="3">
        <v>281.77</v>
      </c>
      <c r="N16" s="3">
        <v>0.12</v>
      </c>
    </row>
    <row r="17" spans="3:14" ht="14.4">
      <c r="C17" s="3" t="s">
        <v>68</v>
      </c>
      <c r="D17" s="25">
        <v>45884</v>
      </c>
      <c r="E17" s="3" t="s">
        <v>13</v>
      </c>
      <c r="F17" s="3" t="s">
        <v>21</v>
      </c>
      <c r="G17" s="3" t="s">
        <v>15</v>
      </c>
      <c r="H17" s="3" t="s">
        <v>69</v>
      </c>
      <c r="I17" s="3" t="s">
        <v>70</v>
      </c>
      <c r="J17" s="3" t="s">
        <v>35</v>
      </c>
      <c r="K17" s="3">
        <v>1196.5</v>
      </c>
      <c r="L17" s="3">
        <v>2</v>
      </c>
      <c r="M17" s="3">
        <v>354.35</v>
      </c>
      <c r="N17" s="3">
        <v>0.25</v>
      </c>
    </row>
    <row r="18" spans="3:14" ht="14.4">
      <c r="C18" s="3" t="s">
        <v>71</v>
      </c>
      <c r="D18" s="25">
        <v>45771</v>
      </c>
      <c r="E18" s="3" t="s">
        <v>28</v>
      </c>
      <c r="F18" s="3" t="s">
        <v>21</v>
      </c>
      <c r="G18" s="3" t="s">
        <v>15</v>
      </c>
      <c r="H18" s="3" t="s">
        <v>72</v>
      </c>
      <c r="I18" s="3" t="s">
        <v>73</v>
      </c>
      <c r="J18" s="3" t="s">
        <v>35</v>
      </c>
      <c r="K18" s="3">
        <v>1042.19</v>
      </c>
      <c r="L18" s="3">
        <v>2</v>
      </c>
      <c r="M18" s="3">
        <v>138.52000000000001</v>
      </c>
      <c r="N18" s="3">
        <v>0.28000000000000003</v>
      </c>
    </row>
    <row r="19" spans="3:14" ht="14.4">
      <c r="C19" s="3" t="s">
        <v>74</v>
      </c>
      <c r="D19" s="25">
        <v>45716</v>
      </c>
      <c r="E19" s="3" t="s">
        <v>41</v>
      </c>
      <c r="F19" s="3" t="s">
        <v>32</v>
      </c>
      <c r="G19" s="3" t="s">
        <v>15</v>
      </c>
      <c r="H19" s="3" t="s">
        <v>75</v>
      </c>
      <c r="I19" s="3" t="s">
        <v>76</v>
      </c>
      <c r="J19" s="3" t="s">
        <v>35</v>
      </c>
      <c r="K19" s="3">
        <v>686.09</v>
      </c>
      <c r="L19" s="3">
        <v>6</v>
      </c>
      <c r="M19" s="3">
        <v>105.82</v>
      </c>
      <c r="N19" s="3">
        <v>0.13</v>
      </c>
    </row>
    <row r="20" spans="3:14" ht="14.4">
      <c r="C20" s="3" t="s">
        <v>77</v>
      </c>
      <c r="D20" s="25">
        <v>45989</v>
      </c>
      <c r="E20" s="3" t="s">
        <v>28</v>
      </c>
      <c r="F20" s="3" t="s">
        <v>21</v>
      </c>
      <c r="G20" s="3" t="s">
        <v>15</v>
      </c>
      <c r="H20" s="3" t="s">
        <v>78</v>
      </c>
      <c r="I20" s="3" t="s">
        <v>79</v>
      </c>
      <c r="J20" s="3" t="s">
        <v>39</v>
      </c>
      <c r="K20" s="3">
        <v>1416.07</v>
      </c>
      <c r="L20" s="3">
        <v>4</v>
      </c>
      <c r="M20" s="3">
        <v>225.85</v>
      </c>
      <c r="N20" s="3">
        <v>0.17</v>
      </c>
    </row>
    <row r="21" spans="3:14" ht="15.75" customHeight="1">
      <c r="C21" s="3" t="s">
        <v>80</v>
      </c>
      <c r="D21" s="25">
        <v>45928</v>
      </c>
      <c r="E21" s="3" t="s">
        <v>41</v>
      </c>
      <c r="F21" s="3" t="s">
        <v>14</v>
      </c>
      <c r="G21" s="3" t="s">
        <v>15</v>
      </c>
      <c r="H21" s="3" t="s">
        <v>81</v>
      </c>
      <c r="I21" s="3" t="s">
        <v>82</v>
      </c>
      <c r="J21" s="3" t="s">
        <v>35</v>
      </c>
      <c r="K21" s="3">
        <v>1144.18</v>
      </c>
      <c r="L21" s="3">
        <v>5</v>
      </c>
      <c r="M21" s="3">
        <v>233.65</v>
      </c>
      <c r="N21" s="3">
        <v>0.11</v>
      </c>
    </row>
    <row r="22" spans="3:14" ht="15.75" customHeight="1">
      <c r="C22" s="3" t="s">
        <v>83</v>
      </c>
      <c r="D22" s="25">
        <v>45878</v>
      </c>
      <c r="E22" s="3" t="s">
        <v>41</v>
      </c>
      <c r="F22" s="3" t="s">
        <v>14</v>
      </c>
      <c r="G22" s="3" t="s">
        <v>15</v>
      </c>
      <c r="H22" s="3" t="s">
        <v>84</v>
      </c>
      <c r="I22" s="3" t="s">
        <v>85</v>
      </c>
      <c r="J22" s="3" t="s">
        <v>35</v>
      </c>
      <c r="K22" s="3">
        <v>252.73</v>
      </c>
      <c r="L22" s="3">
        <v>5</v>
      </c>
      <c r="M22" s="3">
        <v>31.14</v>
      </c>
      <c r="N22" s="3">
        <v>0.27</v>
      </c>
    </row>
    <row r="23" spans="3:14" ht="15.75" customHeight="1">
      <c r="C23" s="3" t="s">
        <v>86</v>
      </c>
      <c r="D23" s="25">
        <v>45999</v>
      </c>
      <c r="E23" s="3" t="s">
        <v>28</v>
      </c>
      <c r="F23" s="3" t="s">
        <v>14</v>
      </c>
      <c r="G23" s="3" t="s">
        <v>15</v>
      </c>
      <c r="H23" s="3" t="s">
        <v>87</v>
      </c>
      <c r="I23" s="3" t="s">
        <v>88</v>
      </c>
      <c r="J23" s="3" t="s">
        <v>39</v>
      </c>
      <c r="K23" s="3">
        <v>1467.17</v>
      </c>
      <c r="L23" s="3">
        <v>10</v>
      </c>
      <c r="M23" s="3">
        <v>157.78</v>
      </c>
      <c r="N23" s="3">
        <v>0.2</v>
      </c>
    </row>
    <row r="24" spans="3:14" ht="15.75" customHeight="1">
      <c r="C24" s="3" t="s">
        <v>89</v>
      </c>
      <c r="D24" s="25">
        <v>45658</v>
      </c>
      <c r="E24" s="3" t="s">
        <v>20</v>
      </c>
      <c r="F24" s="3" t="s">
        <v>32</v>
      </c>
      <c r="G24" s="3" t="s">
        <v>15</v>
      </c>
      <c r="H24" s="3" t="s">
        <v>90</v>
      </c>
      <c r="I24" s="3" t="s">
        <v>91</v>
      </c>
      <c r="J24" s="3" t="s">
        <v>39</v>
      </c>
      <c r="K24" s="3">
        <v>939.48</v>
      </c>
      <c r="L24" s="3">
        <v>2</v>
      </c>
      <c r="M24" s="3">
        <v>166.13</v>
      </c>
      <c r="N24" s="3">
        <v>0.04</v>
      </c>
    </row>
    <row r="25" spans="3:14" ht="15.75" customHeight="1">
      <c r="C25" s="3" t="s">
        <v>92</v>
      </c>
      <c r="D25" s="25">
        <v>45851</v>
      </c>
      <c r="E25" s="3" t="s">
        <v>20</v>
      </c>
      <c r="F25" s="3" t="s">
        <v>32</v>
      </c>
      <c r="G25" s="3" t="s">
        <v>15</v>
      </c>
      <c r="H25" s="3" t="s">
        <v>93</v>
      </c>
      <c r="I25" s="3" t="s">
        <v>94</v>
      </c>
      <c r="J25" s="3" t="s">
        <v>35</v>
      </c>
      <c r="K25" s="3">
        <v>1696.84</v>
      </c>
      <c r="L25" s="3">
        <v>4</v>
      </c>
      <c r="M25" s="3">
        <v>348.3</v>
      </c>
      <c r="N25" s="3">
        <v>0.23</v>
      </c>
    </row>
    <row r="26" spans="3:14" ht="15.75" customHeight="1">
      <c r="C26" s="3" t="s">
        <v>95</v>
      </c>
      <c r="D26" s="25">
        <v>45721</v>
      </c>
      <c r="E26" s="3" t="s">
        <v>20</v>
      </c>
      <c r="F26" s="3" t="s">
        <v>21</v>
      </c>
      <c r="G26" s="3" t="s">
        <v>15</v>
      </c>
      <c r="H26" s="3" t="s">
        <v>96</v>
      </c>
      <c r="I26" s="3" t="s">
        <v>97</v>
      </c>
      <c r="J26" s="3" t="s">
        <v>18</v>
      </c>
      <c r="K26" s="3">
        <v>788.51</v>
      </c>
      <c r="L26" s="3">
        <v>8</v>
      </c>
      <c r="M26" s="3">
        <v>292.33</v>
      </c>
      <c r="N26" s="3">
        <v>0.03</v>
      </c>
    </row>
    <row r="27" spans="3:14" ht="15.75" customHeight="1">
      <c r="C27" s="3" t="s">
        <v>98</v>
      </c>
      <c r="D27" s="25">
        <v>45676</v>
      </c>
      <c r="E27" s="3" t="s">
        <v>13</v>
      </c>
      <c r="F27" s="3" t="s">
        <v>21</v>
      </c>
      <c r="G27" s="3" t="s">
        <v>15</v>
      </c>
      <c r="H27" s="3" t="s">
        <v>99</v>
      </c>
      <c r="I27" s="3" t="s">
        <v>100</v>
      </c>
      <c r="J27" s="3" t="s">
        <v>18</v>
      </c>
      <c r="K27" s="3">
        <v>1419.02</v>
      </c>
      <c r="L27" s="3">
        <v>4</v>
      </c>
      <c r="M27" s="3">
        <v>500.65</v>
      </c>
      <c r="N27" s="3">
        <v>0.04</v>
      </c>
    </row>
    <row r="28" spans="3:14" ht="15.75" customHeight="1">
      <c r="C28" s="3" t="s">
        <v>101</v>
      </c>
      <c r="D28" s="25">
        <v>45979</v>
      </c>
      <c r="E28" s="3" t="s">
        <v>28</v>
      </c>
      <c r="F28" s="3" t="s">
        <v>14</v>
      </c>
      <c r="G28" s="3" t="s">
        <v>15</v>
      </c>
      <c r="H28" s="3" t="s">
        <v>102</v>
      </c>
      <c r="I28" s="3" t="s">
        <v>103</v>
      </c>
      <c r="J28" s="3" t="s">
        <v>18</v>
      </c>
      <c r="K28" s="3">
        <v>159.15</v>
      </c>
      <c r="L28" s="3">
        <v>6</v>
      </c>
      <c r="M28" s="3">
        <v>35.229999999999997</v>
      </c>
      <c r="N28" s="3">
        <v>0.18</v>
      </c>
    </row>
    <row r="29" spans="3:14" ht="15.75" customHeight="1">
      <c r="C29" s="3" t="s">
        <v>104</v>
      </c>
      <c r="D29" s="25">
        <v>45949</v>
      </c>
      <c r="E29" s="3" t="s">
        <v>20</v>
      </c>
      <c r="F29" s="3" t="s">
        <v>14</v>
      </c>
      <c r="G29" s="3" t="s">
        <v>15</v>
      </c>
      <c r="H29" s="3" t="s">
        <v>105</v>
      </c>
      <c r="I29" s="3" t="s">
        <v>106</v>
      </c>
      <c r="J29" s="3" t="s">
        <v>35</v>
      </c>
      <c r="K29" s="3">
        <v>1300.57</v>
      </c>
      <c r="L29" s="3">
        <v>3</v>
      </c>
      <c r="M29" s="3">
        <v>416.02</v>
      </c>
      <c r="N29" s="3">
        <v>0.11</v>
      </c>
    </row>
    <row r="30" spans="3:14" ht="15.75" customHeight="1">
      <c r="C30" s="3" t="s">
        <v>107</v>
      </c>
      <c r="D30" s="25">
        <v>46015</v>
      </c>
      <c r="E30" s="3" t="s">
        <v>28</v>
      </c>
      <c r="F30" s="3" t="s">
        <v>32</v>
      </c>
      <c r="G30" s="3" t="s">
        <v>15</v>
      </c>
      <c r="H30" s="3" t="s">
        <v>108</v>
      </c>
      <c r="I30" s="3" t="s">
        <v>109</v>
      </c>
      <c r="J30" s="3" t="s">
        <v>39</v>
      </c>
      <c r="K30" s="3">
        <v>491.92</v>
      </c>
      <c r="L30" s="3">
        <v>2</v>
      </c>
      <c r="M30" s="3">
        <v>79.930000000000007</v>
      </c>
      <c r="N30" s="3">
        <v>0.25</v>
      </c>
    </row>
    <row r="31" spans="3:14" ht="15.75" customHeight="1">
      <c r="C31" s="3" t="s">
        <v>110</v>
      </c>
      <c r="D31" s="25">
        <v>45698</v>
      </c>
      <c r="E31" s="3" t="s">
        <v>28</v>
      </c>
      <c r="F31" s="3" t="s">
        <v>14</v>
      </c>
      <c r="G31" s="3" t="s">
        <v>15</v>
      </c>
      <c r="H31" s="3" t="s">
        <v>111</v>
      </c>
      <c r="I31" s="3" t="s">
        <v>112</v>
      </c>
      <c r="J31" s="3" t="s">
        <v>18</v>
      </c>
      <c r="K31" s="3">
        <v>1838.26</v>
      </c>
      <c r="L31" s="3">
        <v>9</v>
      </c>
      <c r="M31" s="3">
        <v>96.41</v>
      </c>
      <c r="N31" s="3">
        <v>0.18</v>
      </c>
    </row>
    <row r="32" spans="3:14" ht="15.75" customHeight="1">
      <c r="C32" s="3" t="s">
        <v>113</v>
      </c>
      <c r="D32" s="25">
        <v>45858</v>
      </c>
      <c r="E32" s="3" t="s">
        <v>28</v>
      </c>
      <c r="F32" s="3" t="s">
        <v>32</v>
      </c>
      <c r="G32" s="3" t="s">
        <v>15</v>
      </c>
      <c r="H32" s="3" t="s">
        <v>114</v>
      </c>
      <c r="I32" s="3" t="s">
        <v>115</v>
      </c>
      <c r="J32" s="3" t="s">
        <v>35</v>
      </c>
      <c r="K32" s="3">
        <v>194.86</v>
      </c>
      <c r="L32" s="3">
        <v>5</v>
      </c>
      <c r="M32" s="3">
        <v>69.540000000000006</v>
      </c>
      <c r="N32" s="3">
        <v>0.08</v>
      </c>
    </row>
    <row r="33" spans="3:14" ht="15.75" customHeight="1">
      <c r="C33" s="3" t="s">
        <v>116</v>
      </c>
      <c r="D33" s="25">
        <v>45792</v>
      </c>
      <c r="E33" s="3" t="s">
        <v>13</v>
      </c>
      <c r="F33" s="3" t="s">
        <v>32</v>
      </c>
      <c r="G33" s="3" t="s">
        <v>15</v>
      </c>
      <c r="H33" s="3" t="s">
        <v>117</v>
      </c>
      <c r="I33" s="3" t="s">
        <v>118</v>
      </c>
      <c r="J33" s="3" t="s">
        <v>35</v>
      </c>
      <c r="K33" s="3">
        <v>1241.1300000000001</v>
      </c>
      <c r="L33" s="3">
        <v>2</v>
      </c>
      <c r="M33" s="3">
        <v>151.79</v>
      </c>
      <c r="N33" s="3">
        <v>0.28000000000000003</v>
      </c>
    </row>
    <row r="34" spans="3:14" ht="15.75" customHeight="1">
      <c r="C34" s="3" t="s">
        <v>119</v>
      </c>
      <c r="D34" s="25">
        <v>45719</v>
      </c>
      <c r="E34" s="3" t="s">
        <v>13</v>
      </c>
      <c r="F34" s="3" t="s">
        <v>14</v>
      </c>
      <c r="G34" s="3" t="s">
        <v>15</v>
      </c>
      <c r="H34" s="3" t="s">
        <v>120</v>
      </c>
      <c r="I34" s="3" t="s">
        <v>121</v>
      </c>
      <c r="J34" s="3" t="s">
        <v>18</v>
      </c>
      <c r="K34" s="3">
        <v>1769.91</v>
      </c>
      <c r="L34" s="3">
        <v>10</v>
      </c>
      <c r="M34" s="3">
        <v>403.97</v>
      </c>
      <c r="N34" s="3">
        <v>0.01</v>
      </c>
    </row>
    <row r="35" spans="3:14" ht="15.75" customHeight="1">
      <c r="C35" s="3" t="s">
        <v>122</v>
      </c>
      <c r="D35" s="25">
        <v>45881</v>
      </c>
      <c r="E35" s="3" t="s">
        <v>20</v>
      </c>
      <c r="F35" s="3" t="s">
        <v>14</v>
      </c>
      <c r="G35" s="3" t="s">
        <v>15</v>
      </c>
      <c r="H35" s="3" t="s">
        <v>123</v>
      </c>
      <c r="I35" s="3" t="s">
        <v>124</v>
      </c>
      <c r="J35" s="3" t="s">
        <v>35</v>
      </c>
      <c r="K35" s="3">
        <v>1881.77</v>
      </c>
      <c r="L35" s="3">
        <v>3</v>
      </c>
      <c r="M35" s="3">
        <v>605.04999999999995</v>
      </c>
      <c r="N35" s="3">
        <v>0.25</v>
      </c>
    </row>
    <row r="36" spans="3:14" ht="15.75" customHeight="1">
      <c r="C36" s="3" t="s">
        <v>125</v>
      </c>
      <c r="D36" s="25">
        <v>45849</v>
      </c>
      <c r="E36" s="3" t="s">
        <v>28</v>
      </c>
      <c r="F36" s="3" t="s">
        <v>21</v>
      </c>
      <c r="G36" s="3" t="s">
        <v>15</v>
      </c>
      <c r="H36" s="3" t="s">
        <v>126</v>
      </c>
      <c r="I36" s="3" t="s">
        <v>127</v>
      </c>
      <c r="J36" s="3" t="s">
        <v>18</v>
      </c>
      <c r="K36" s="3">
        <v>1486.02</v>
      </c>
      <c r="L36" s="3">
        <v>4</v>
      </c>
      <c r="M36" s="3">
        <v>470.08</v>
      </c>
      <c r="N36" s="3">
        <v>0.28000000000000003</v>
      </c>
    </row>
    <row r="37" spans="3:14" ht="15.75" customHeight="1">
      <c r="C37" s="3" t="s">
        <v>128</v>
      </c>
      <c r="D37" s="25">
        <v>45951</v>
      </c>
      <c r="E37" s="3" t="s">
        <v>41</v>
      </c>
      <c r="F37" s="3" t="s">
        <v>14</v>
      </c>
      <c r="G37" s="3" t="s">
        <v>15</v>
      </c>
      <c r="H37" s="3" t="s">
        <v>129</v>
      </c>
      <c r="I37" s="3" t="s">
        <v>130</v>
      </c>
      <c r="J37" s="3" t="s">
        <v>39</v>
      </c>
      <c r="K37" s="3">
        <v>192.67</v>
      </c>
      <c r="L37" s="3">
        <v>8</v>
      </c>
      <c r="M37" s="3">
        <v>35.729999999999997</v>
      </c>
      <c r="N37" s="3">
        <v>0.25</v>
      </c>
    </row>
    <row r="38" spans="3:14" ht="15.75" customHeight="1">
      <c r="C38" s="3" t="s">
        <v>131</v>
      </c>
      <c r="D38" s="25">
        <v>45941</v>
      </c>
      <c r="E38" s="3" t="s">
        <v>41</v>
      </c>
      <c r="F38" s="3" t="s">
        <v>14</v>
      </c>
      <c r="G38" s="3" t="s">
        <v>15</v>
      </c>
      <c r="H38" s="3" t="s">
        <v>132</v>
      </c>
      <c r="I38" s="3" t="s">
        <v>133</v>
      </c>
      <c r="J38" s="3" t="s">
        <v>18</v>
      </c>
      <c r="K38" s="3">
        <v>134.30000000000001</v>
      </c>
      <c r="L38" s="3">
        <v>7</v>
      </c>
      <c r="M38" s="3">
        <v>30.2</v>
      </c>
      <c r="N38" s="3">
        <v>0.14000000000000001</v>
      </c>
    </row>
    <row r="39" spans="3:14" ht="15.75" customHeight="1">
      <c r="C39" s="3" t="s">
        <v>134</v>
      </c>
      <c r="D39" s="25">
        <v>45684</v>
      </c>
      <c r="E39" s="3" t="s">
        <v>20</v>
      </c>
      <c r="F39" s="3" t="s">
        <v>32</v>
      </c>
      <c r="G39" s="3" t="s">
        <v>15</v>
      </c>
      <c r="H39" s="3" t="s">
        <v>135</v>
      </c>
      <c r="I39" s="3" t="s">
        <v>136</v>
      </c>
      <c r="J39" s="3" t="s">
        <v>35</v>
      </c>
      <c r="K39" s="3">
        <v>1758.53</v>
      </c>
      <c r="L39" s="3">
        <v>10</v>
      </c>
      <c r="M39" s="3">
        <v>422.09</v>
      </c>
      <c r="N39" s="3">
        <v>0.24</v>
      </c>
    </row>
    <row r="40" spans="3:14" ht="15.75" customHeight="1">
      <c r="C40" s="3" t="s">
        <v>137</v>
      </c>
      <c r="D40" s="25">
        <v>46013</v>
      </c>
      <c r="E40" s="3" t="s">
        <v>20</v>
      </c>
      <c r="F40" s="3" t="s">
        <v>14</v>
      </c>
      <c r="G40" s="3" t="s">
        <v>15</v>
      </c>
      <c r="H40" s="3" t="s">
        <v>138</v>
      </c>
      <c r="I40" s="3" t="s">
        <v>139</v>
      </c>
      <c r="J40" s="3" t="s">
        <v>35</v>
      </c>
      <c r="K40" s="3">
        <v>940.78</v>
      </c>
      <c r="L40" s="3">
        <v>5</v>
      </c>
      <c r="M40" s="3">
        <v>336.8</v>
      </c>
      <c r="N40" s="3">
        <v>0.12</v>
      </c>
    </row>
    <row r="41" spans="3:14" ht="15.75" customHeight="1">
      <c r="C41" s="3" t="s">
        <v>140</v>
      </c>
      <c r="D41" s="25">
        <v>45979</v>
      </c>
      <c r="E41" s="3" t="s">
        <v>28</v>
      </c>
      <c r="F41" s="3" t="s">
        <v>32</v>
      </c>
      <c r="G41" s="3" t="s">
        <v>15</v>
      </c>
      <c r="H41" s="3" t="s">
        <v>141</v>
      </c>
      <c r="I41" s="3" t="s">
        <v>142</v>
      </c>
      <c r="J41" s="3" t="s">
        <v>18</v>
      </c>
      <c r="K41" s="3">
        <v>1117.02</v>
      </c>
      <c r="L41" s="3">
        <v>4</v>
      </c>
      <c r="M41" s="3">
        <v>167.64</v>
      </c>
      <c r="N41" s="3">
        <v>0.15</v>
      </c>
    </row>
    <row r="42" spans="3:14" ht="15.75" customHeight="1">
      <c r="C42" s="3" t="s">
        <v>143</v>
      </c>
      <c r="D42" s="25">
        <v>45876</v>
      </c>
      <c r="E42" s="3" t="s">
        <v>13</v>
      </c>
      <c r="F42" s="3" t="s">
        <v>14</v>
      </c>
      <c r="G42" s="3" t="s">
        <v>15</v>
      </c>
      <c r="H42" s="3" t="s">
        <v>144</v>
      </c>
      <c r="I42" s="3" t="s">
        <v>145</v>
      </c>
      <c r="J42" s="3" t="s">
        <v>35</v>
      </c>
      <c r="K42" s="3">
        <v>1329.2</v>
      </c>
      <c r="L42" s="3">
        <v>8</v>
      </c>
      <c r="M42" s="3">
        <v>308.12</v>
      </c>
      <c r="N42" s="3">
        <v>0.17</v>
      </c>
    </row>
    <row r="43" spans="3:14" ht="15.75" customHeight="1">
      <c r="C43" s="3" t="s">
        <v>146</v>
      </c>
      <c r="D43" s="25">
        <v>45923</v>
      </c>
      <c r="E43" s="3" t="s">
        <v>13</v>
      </c>
      <c r="F43" s="3" t="s">
        <v>21</v>
      </c>
      <c r="G43" s="3" t="s">
        <v>15</v>
      </c>
      <c r="H43" s="3" t="s">
        <v>147</v>
      </c>
      <c r="I43" s="3" t="s">
        <v>148</v>
      </c>
      <c r="J43" s="3" t="s">
        <v>18</v>
      </c>
      <c r="K43" s="3">
        <v>527.5</v>
      </c>
      <c r="L43" s="3">
        <v>7</v>
      </c>
      <c r="M43" s="3">
        <v>192.06</v>
      </c>
      <c r="N43" s="3">
        <v>0.02</v>
      </c>
    </row>
    <row r="44" spans="3:14" ht="15.75" customHeight="1">
      <c r="C44" s="3" t="s">
        <v>149</v>
      </c>
      <c r="D44" s="25">
        <v>45691</v>
      </c>
      <c r="E44" s="3" t="s">
        <v>20</v>
      </c>
      <c r="F44" s="3" t="s">
        <v>14</v>
      </c>
      <c r="G44" s="3" t="s">
        <v>15</v>
      </c>
      <c r="H44" s="3" t="s">
        <v>150</v>
      </c>
      <c r="I44" s="3" t="s">
        <v>151</v>
      </c>
      <c r="J44" s="3" t="s">
        <v>18</v>
      </c>
      <c r="K44" s="3">
        <v>728.73</v>
      </c>
      <c r="L44" s="3">
        <v>8</v>
      </c>
      <c r="M44" s="3">
        <v>158.99</v>
      </c>
      <c r="N44" s="3">
        <v>0.01</v>
      </c>
    </row>
    <row r="45" spans="3:14" ht="15.75" customHeight="1">
      <c r="C45" s="3" t="s">
        <v>152</v>
      </c>
      <c r="D45" s="25">
        <v>45947</v>
      </c>
      <c r="E45" s="3" t="s">
        <v>20</v>
      </c>
      <c r="F45" s="3" t="s">
        <v>21</v>
      </c>
      <c r="G45" s="3" t="s">
        <v>15</v>
      </c>
      <c r="H45" s="3" t="s">
        <v>153</v>
      </c>
      <c r="I45" s="3" t="s">
        <v>154</v>
      </c>
      <c r="J45" s="3" t="s">
        <v>35</v>
      </c>
      <c r="K45" s="3">
        <v>1948.51</v>
      </c>
      <c r="L45" s="3">
        <v>9</v>
      </c>
      <c r="M45" s="3">
        <v>186.79</v>
      </c>
      <c r="N45" s="3">
        <v>0.24</v>
      </c>
    </row>
    <row r="46" spans="3:14" ht="15.75" customHeight="1">
      <c r="C46" s="3" t="s">
        <v>155</v>
      </c>
      <c r="D46" s="25">
        <v>45717</v>
      </c>
      <c r="E46" s="3" t="s">
        <v>28</v>
      </c>
      <c r="F46" s="3" t="s">
        <v>14</v>
      </c>
      <c r="G46" s="3" t="s">
        <v>15</v>
      </c>
      <c r="H46" s="3" t="s">
        <v>156</v>
      </c>
      <c r="I46" s="3" t="s">
        <v>157</v>
      </c>
      <c r="J46" s="3" t="s">
        <v>35</v>
      </c>
      <c r="K46" s="3">
        <v>1648.64</v>
      </c>
      <c r="L46" s="3">
        <v>3</v>
      </c>
      <c r="M46" s="3">
        <v>450.65</v>
      </c>
      <c r="N46" s="3">
        <v>0.2</v>
      </c>
    </row>
    <row r="47" spans="3:14" ht="15.75" customHeight="1">
      <c r="C47" s="3" t="s">
        <v>158</v>
      </c>
      <c r="D47" s="25">
        <v>45677</v>
      </c>
      <c r="E47" s="3" t="s">
        <v>41</v>
      </c>
      <c r="F47" s="3" t="s">
        <v>32</v>
      </c>
      <c r="G47" s="3" t="s">
        <v>15</v>
      </c>
      <c r="H47" s="3" t="s">
        <v>159</v>
      </c>
      <c r="I47" s="3" t="s">
        <v>160</v>
      </c>
      <c r="J47" s="3" t="s">
        <v>35</v>
      </c>
      <c r="K47" s="3">
        <v>181.6</v>
      </c>
      <c r="L47" s="3">
        <v>5</v>
      </c>
      <c r="M47" s="3">
        <v>50.35</v>
      </c>
      <c r="N47" s="3">
        <v>0.05</v>
      </c>
    </row>
    <row r="48" spans="3:14" ht="15.75" customHeight="1">
      <c r="C48" s="3" t="s">
        <v>161</v>
      </c>
      <c r="D48" s="25">
        <v>45769</v>
      </c>
      <c r="E48" s="3" t="s">
        <v>13</v>
      </c>
      <c r="F48" s="3" t="s">
        <v>21</v>
      </c>
      <c r="G48" s="3" t="s">
        <v>15</v>
      </c>
      <c r="H48" s="3" t="s">
        <v>162</v>
      </c>
      <c r="I48" s="3" t="s">
        <v>163</v>
      </c>
      <c r="J48" s="3" t="s">
        <v>39</v>
      </c>
      <c r="K48" s="3">
        <v>1740.41</v>
      </c>
      <c r="L48" s="3">
        <v>10</v>
      </c>
      <c r="M48" s="3">
        <v>565.72</v>
      </c>
      <c r="N48" s="3">
        <v>0.2</v>
      </c>
    </row>
    <row r="49" spans="3:14" ht="15.75" customHeight="1">
      <c r="C49" s="3" t="s">
        <v>164</v>
      </c>
      <c r="D49" s="25">
        <v>45709</v>
      </c>
      <c r="E49" s="3" t="s">
        <v>13</v>
      </c>
      <c r="F49" s="3" t="s">
        <v>32</v>
      </c>
      <c r="G49" s="3" t="s">
        <v>15</v>
      </c>
      <c r="H49" s="3" t="s">
        <v>165</v>
      </c>
      <c r="I49" s="3" t="s">
        <v>166</v>
      </c>
      <c r="J49" s="3" t="s">
        <v>35</v>
      </c>
      <c r="K49" s="3">
        <v>1011.74</v>
      </c>
      <c r="L49" s="3">
        <v>8</v>
      </c>
      <c r="M49" s="3">
        <v>58.48</v>
      </c>
      <c r="N49" s="3">
        <v>0</v>
      </c>
    </row>
    <row r="50" spans="3:14" ht="15.75" customHeight="1">
      <c r="C50" s="3" t="s">
        <v>167</v>
      </c>
      <c r="D50" s="25">
        <v>45718</v>
      </c>
      <c r="E50" s="3" t="s">
        <v>20</v>
      </c>
      <c r="F50" s="3" t="s">
        <v>21</v>
      </c>
      <c r="G50" s="3" t="s">
        <v>15</v>
      </c>
      <c r="H50" s="3" t="s">
        <v>168</v>
      </c>
      <c r="I50" s="3" t="s">
        <v>169</v>
      </c>
      <c r="J50" s="3" t="s">
        <v>35</v>
      </c>
      <c r="K50" s="3">
        <v>1568.93</v>
      </c>
      <c r="L50" s="3">
        <v>7</v>
      </c>
      <c r="M50" s="3">
        <v>460.99</v>
      </c>
      <c r="N50" s="3">
        <v>0.12</v>
      </c>
    </row>
    <row r="51" spans="3:14" ht="15.75" customHeight="1">
      <c r="C51" s="3" t="s">
        <v>170</v>
      </c>
      <c r="D51" s="25">
        <v>45733</v>
      </c>
      <c r="E51" s="3" t="s">
        <v>28</v>
      </c>
      <c r="F51" s="3" t="s">
        <v>21</v>
      </c>
      <c r="G51" s="3" t="s">
        <v>15</v>
      </c>
      <c r="H51" s="3" t="s">
        <v>171</v>
      </c>
      <c r="I51" s="3" t="s">
        <v>172</v>
      </c>
      <c r="J51" s="3" t="s">
        <v>39</v>
      </c>
      <c r="K51" s="3">
        <v>683.02</v>
      </c>
      <c r="L51" s="3">
        <v>4</v>
      </c>
      <c r="M51" s="3">
        <v>44.56</v>
      </c>
      <c r="N51" s="3">
        <v>0.17</v>
      </c>
    </row>
    <row r="52" spans="3:14" ht="15.75" customHeight="1">
      <c r="C52" s="3" t="s">
        <v>173</v>
      </c>
      <c r="D52" s="25">
        <v>45734</v>
      </c>
      <c r="E52" s="3" t="s">
        <v>13</v>
      </c>
      <c r="F52" s="3" t="s">
        <v>21</v>
      </c>
      <c r="G52" s="3" t="s">
        <v>15</v>
      </c>
      <c r="H52" s="3" t="s">
        <v>174</v>
      </c>
      <c r="I52" s="3" t="s">
        <v>175</v>
      </c>
      <c r="J52" s="3" t="s">
        <v>18</v>
      </c>
      <c r="K52" s="3">
        <v>1496.75</v>
      </c>
      <c r="L52" s="3">
        <v>1</v>
      </c>
      <c r="M52" s="3">
        <v>144.83000000000001</v>
      </c>
      <c r="N52" s="3">
        <v>0.13</v>
      </c>
    </row>
    <row r="53" spans="3:14" ht="15.75" customHeight="1">
      <c r="C53" s="3" t="s">
        <v>176</v>
      </c>
      <c r="D53" s="25">
        <v>45795</v>
      </c>
      <c r="E53" s="3" t="s">
        <v>13</v>
      </c>
      <c r="F53" s="3" t="s">
        <v>14</v>
      </c>
      <c r="G53" s="3" t="s">
        <v>15</v>
      </c>
      <c r="H53" s="3" t="s">
        <v>177</v>
      </c>
      <c r="I53" s="3" t="s">
        <v>178</v>
      </c>
      <c r="J53" s="3" t="s">
        <v>35</v>
      </c>
      <c r="K53" s="3">
        <v>424.82</v>
      </c>
      <c r="L53" s="3">
        <v>9</v>
      </c>
      <c r="M53" s="3">
        <v>162.72</v>
      </c>
      <c r="N53" s="3">
        <v>0.27</v>
      </c>
    </row>
    <row r="54" spans="3:14" ht="15.75" customHeight="1">
      <c r="C54" s="3" t="s">
        <v>179</v>
      </c>
      <c r="D54" s="25">
        <v>45726</v>
      </c>
      <c r="E54" s="3" t="s">
        <v>20</v>
      </c>
      <c r="F54" s="3" t="s">
        <v>14</v>
      </c>
      <c r="G54" s="3" t="s">
        <v>15</v>
      </c>
      <c r="H54" s="3" t="s">
        <v>180</v>
      </c>
      <c r="I54" s="3" t="s">
        <v>181</v>
      </c>
      <c r="J54" s="3" t="s">
        <v>18</v>
      </c>
      <c r="K54" s="3">
        <v>1994.98</v>
      </c>
      <c r="L54" s="3">
        <v>7</v>
      </c>
      <c r="M54" s="3">
        <v>361.57</v>
      </c>
      <c r="N54" s="3">
        <v>0.06</v>
      </c>
    </row>
    <row r="55" spans="3:14" ht="15.75" customHeight="1">
      <c r="C55" s="3" t="s">
        <v>182</v>
      </c>
      <c r="D55" s="25">
        <v>45933</v>
      </c>
      <c r="E55" s="3" t="s">
        <v>20</v>
      </c>
      <c r="F55" s="3" t="s">
        <v>32</v>
      </c>
      <c r="G55" s="3" t="s">
        <v>15</v>
      </c>
      <c r="H55" s="3" t="s">
        <v>183</v>
      </c>
      <c r="I55" s="3" t="s">
        <v>184</v>
      </c>
      <c r="J55" s="3" t="s">
        <v>39</v>
      </c>
      <c r="K55" s="3">
        <v>1970.76</v>
      </c>
      <c r="L55" s="3">
        <v>9</v>
      </c>
      <c r="M55" s="3">
        <v>683.91</v>
      </c>
      <c r="N55" s="3">
        <v>0.02</v>
      </c>
    </row>
    <row r="56" spans="3:14" ht="15.75" customHeight="1">
      <c r="C56" s="3" t="s">
        <v>185</v>
      </c>
      <c r="D56" s="25">
        <v>45994</v>
      </c>
      <c r="E56" s="3" t="s">
        <v>28</v>
      </c>
      <c r="F56" s="3" t="s">
        <v>14</v>
      </c>
      <c r="G56" s="3" t="s">
        <v>15</v>
      </c>
      <c r="H56" s="3" t="s">
        <v>186</v>
      </c>
      <c r="I56" s="3" t="s">
        <v>187</v>
      </c>
      <c r="J56" s="3" t="s">
        <v>39</v>
      </c>
      <c r="K56" s="3">
        <v>896.36</v>
      </c>
      <c r="L56" s="3">
        <v>6</v>
      </c>
      <c r="M56" s="3">
        <v>181.66</v>
      </c>
      <c r="N56" s="3">
        <v>0.16</v>
      </c>
    </row>
    <row r="57" spans="3:14" ht="15.75" customHeight="1">
      <c r="C57" s="3" t="s">
        <v>188</v>
      </c>
      <c r="D57" s="25">
        <v>45735</v>
      </c>
      <c r="E57" s="3" t="s">
        <v>41</v>
      </c>
      <c r="F57" s="3" t="s">
        <v>14</v>
      </c>
      <c r="G57" s="3" t="s">
        <v>15</v>
      </c>
      <c r="H57" s="3" t="s">
        <v>189</v>
      </c>
      <c r="I57" s="3" t="s">
        <v>190</v>
      </c>
      <c r="J57" s="3" t="s">
        <v>35</v>
      </c>
      <c r="K57" s="3">
        <v>413.36</v>
      </c>
      <c r="L57" s="3">
        <v>5</v>
      </c>
      <c r="M57" s="3">
        <v>128.26</v>
      </c>
      <c r="N57" s="3">
        <v>0.02</v>
      </c>
    </row>
    <row r="58" spans="3:14" ht="15.75" customHeight="1">
      <c r="C58" s="3" t="s">
        <v>191</v>
      </c>
      <c r="D58" s="25">
        <v>45938</v>
      </c>
      <c r="E58" s="3" t="s">
        <v>28</v>
      </c>
      <c r="F58" s="3" t="s">
        <v>21</v>
      </c>
      <c r="G58" s="3" t="s">
        <v>15</v>
      </c>
      <c r="H58" s="3" t="s">
        <v>192</v>
      </c>
      <c r="I58" s="3" t="s">
        <v>193</v>
      </c>
      <c r="J58" s="3" t="s">
        <v>18</v>
      </c>
      <c r="K58" s="3">
        <v>1819.14</v>
      </c>
      <c r="L58" s="3">
        <v>3</v>
      </c>
      <c r="M58" s="3">
        <v>717.51</v>
      </c>
      <c r="N58" s="3">
        <v>7.0000000000000007E-2</v>
      </c>
    </row>
    <row r="59" spans="3:14" ht="15.75" customHeight="1">
      <c r="C59" s="3" t="s">
        <v>194</v>
      </c>
      <c r="D59" s="25">
        <v>45698</v>
      </c>
      <c r="E59" s="3" t="s">
        <v>41</v>
      </c>
      <c r="F59" s="3" t="s">
        <v>14</v>
      </c>
      <c r="G59" s="3" t="s">
        <v>15</v>
      </c>
      <c r="H59" s="3" t="s">
        <v>195</v>
      </c>
      <c r="I59" s="3" t="s">
        <v>196</v>
      </c>
      <c r="J59" s="3" t="s">
        <v>18</v>
      </c>
      <c r="K59" s="3">
        <v>188.39</v>
      </c>
      <c r="L59" s="3">
        <v>6</v>
      </c>
      <c r="M59" s="3">
        <v>23.26</v>
      </c>
      <c r="N59" s="3">
        <v>0.26</v>
      </c>
    </row>
    <row r="60" spans="3:14" ht="15.75" customHeight="1">
      <c r="C60" s="3" t="s">
        <v>197</v>
      </c>
      <c r="D60" s="25">
        <v>45815</v>
      </c>
      <c r="E60" s="3" t="s">
        <v>20</v>
      </c>
      <c r="F60" s="3" t="s">
        <v>21</v>
      </c>
      <c r="G60" s="3" t="s">
        <v>15</v>
      </c>
      <c r="H60" s="3" t="s">
        <v>198</v>
      </c>
      <c r="I60" s="3" t="s">
        <v>199</v>
      </c>
      <c r="J60" s="3" t="s">
        <v>18</v>
      </c>
      <c r="K60" s="3">
        <v>183.34</v>
      </c>
      <c r="L60" s="3">
        <v>5</v>
      </c>
      <c r="M60" s="3">
        <v>17.62</v>
      </c>
      <c r="N60" s="3">
        <v>0.16</v>
      </c>
    </row>
    <row r="61" spans="3:14" ht="15.75" customHeight="1">
      <c r="C61" s="3" t="s">
        <v>200</v>
      </c>
      <c r="D61" s="25">
        <v>45904</v>
      </c>
      <c r="E61" s="3" t="s">
        <v>28</v>
      </c>
      <c r="F61" s="3" t="s">
        <v>14</v>
      </c>
      <c r="G61" s="3" t="s">
        <v>15</v>
      </c>
      <c r="H61" s="3" t="s">
        <v>201</v>
      </c>
      <c r="I61" s="3" t="s">
        <v>202</v>
      </c>
      <c r="J61" s="3" t="s">
        <v>18</v>
      </c>
      <c r="K61" s="3">
        <v>1453.99</v>
      </c>
      <c r="L61" s="3">
        <v>9</v>
      </c>
      <c r="M61" s="3">
        <v>237.69</v>
      </c>
      <c r="N61" s="3">
        <v>0.19</v>
      </c>
    </row>
    <row r="62" spans="3:14" ht="15.75" customHeight="1">
      <c r="C62" s="3" t="s">
        <v>203</v>
      </c>
      <c r="D62" s="25">
        <v>45785</v>
      </c>
      <c r="E62" s="3" t="s">
        <v>13</v>
      </c>
      <c r="F62" s="3" t="s">
        <v>14</v>
      </c>
      <c r="G62" s="3" t="s">
        <v>15</v>
      </c>
      <c r="H62" s="3" t="s">
        <v>204</v>
      </c>
      <c r="I62" s="3" t="s">
        <v>205</v>
      </c>
      <c r="J62" s="3" t="s">
        <v>35</v>
      </c>
      <c r="K62" s="3">
        <v>417.59</v>
      </c>
      <c r="L62" s="3">
        <v>1</v>
      </c>
      <c r="M62" s="3">
        <v>119.95</v>
      </c>
      <c r="N62" s="3">
        <v>0.12</v>
      </c>
    </row>
    <row r="63" spans="3:14" ht="15.75" customHeight="1">
      <c r="C63" s="3" t="s">
        <v>206</v>
      </c>
      <c r="D63" s="25">
        <v>45810</v>
      </c>
      <c r="E63" s="3" t="s">
        <v>13</v>
      </c>
      <c r="F63" s="3" t="s">
        <v>32</v>
      </c>
      <c r="G63" s="3" t="s">
        <v>15</v>
      </c>
      <c r="H63" s="3" t="s">
        <v>207</v>
      </c>
      <c r="I63" s="3" t="s">
        <v>208</v>
      </c>
      <c r="J63" s="3" t="s">
        <v>39</v>
      </c>
      <c r="K63" s="3">
        <v>977.64</v>
      </c>
      <c r="L63" s="3">
        <v>7</v>
      </c>
      <c r="M63" s="3">
        <v>214.86</v>
      </c>
      <c r="N63" s="3">
        <v>0.2</v>
      </c>
    </row>
    <row r="64" spans="3:14" ht="15.75" customHeight="1">
      <c r="C64" s="3" t="s">
        <v>209</v>
      </c>
      <c r="D64" s="25">
        <v>45738</v>
      </c>
      <c r="E64" s="3" t="s">
        <v>20</v>
      </c>
      <c r="F64" s="3" t="s">
        <v>32</v>
      </c>
      <c r="G64" s="3" t="s">
        <v>15</v>
      </c>
      <c r="H64" s="3" t="s">
        <v>210</v>
      </c>
      <c r="I64" s="3" t="s">
        <v>211</v>
      </c>
      <c r="J64" s="3" t="s">
        <v>35</v>
      </c>
      <c r="K64" s="3">
        <v>1023.3</v>
      </c>
      <c r="L64" s="3">
        <v>6</v>
      </c>
      <c r="M64" s="3">
        <v>267.27999999999997</v>
      </c>
      <c r="N64" s="3">
        <v>0.02</v>
      </c>
    </row>
    <row r="65" spans="3:14" ht="15.75" customHeight="1">
      <c r="C65" s="3" t="s">
        <v>212</v>
      </c>
      <c r="D65" s="25">
        <v>45896</v>
      </c>
      <c r="E65" s="3" t="s">
        <v>28</v>
      </c>
      <c r="F65" s="3" t="s">
        <v>32</v>
      </c>
      <c r="G65" s="3" t="s">
        <v>15</v>
      </c>
      <c r="H65" s="3" t="s">
        <v>213</v>
      </c>
      <c r="I65" s="3" t="s">
        <v>214</v>
      </c>
      <c r="J65" s="3" t="s">
        <v>35</v>
      </c>
      <c r="K65" s="3">
        <v>327.85</v>
      </c>
      <c r="L65" s="3">
        <v>6</v>
      </c>
      <c r="M65" s="3">
        <v>73.34</v>
      </c>
      <c r="N65" s="3">
        <v>0.05</v>
      </c>
    </row>
    <row r="66" spans="3:14" ht="15.75" customHeight="1">
      <c r="C66" s="3" t="s">
        <v>215</v>
      </c>
      <c r="D66" s="25">
        <v>45801</v>
      </c>
      <c r="E66" s="3" t="s">
        <v>41</v>
      </c>
      <c r="F66" s="3" t="s">
        <v>21</v>
      </c>
      <c r="G66" s="3" t="s">
        <v>15</v>
      </c>
      <c r="H66" s="3" t="s">
        <v>216</v>
      </c>
      <c r="I66" s="3" t="s">
        <v>217</v>
      </c>
      <c r="J66" s="3" t="s">
        <v>18</v>
      </c>
      <c r="K66" s="3">
        <v>1893.28</v>
      </c>
      <c r="L66" s="3">
        <v>3</v>
      </c>
      <c r="M66" s="3">
        <v>620.61</v>
      </c>
      <c r="N66" s="3">
        <v>0.2</v>
      </c>
    </row>
    <row r="67" spans="3:14" ht="15.75" customHeight="1">
      <c r="C67" s="3" t="s">
        <v>218</v>
      </c>
      <c r="D67" s="25">
        <v>45764</v>
      </c>
      <c r="E67" s="3" t="s">
        <v>28</v>
      </c>
      <c r="F67" s="3" t="s">
        <v>32</v>
      </c>
      <c r="G67" s="3" t="s">
        <v>15</v>
      </c>
      <c r="H67" s="3" t="s">
        <v>219</v>
      </c>
      <c r="I67" s="3" t="s">
        <v>220</v>
      </c>
      <c r="J67" s="3" t="s">
        <v>35</v>
      </c>
      <c r="K67" s="3">
        <v>1635.46</v>
      </c>
      <c r="L67" s="3">
        <v>7</v>
      </c>
      <c r="M67" s="3">
        <v>176.5</v>
      </c>
      <c r="N67" s="3">
        <v>0.04</v>
      </c>
    </row>
    <row r="68" spans="3:14" ht="15.75" customHeight="1">
      <c r="C68" s="3" t="s">
        <v>221</v>
      </c>
      <c r="D68" s="25">
        <v>45936</v>
      </c>
      <c r="E68" s="3" t="s">
        <v>13</v>
      </c>
      <c r="F68" s="3" t="s">
        <v>14</v>
      </c>
      <c r="G68" s="3" t="s">
        <v>15</v>
      </c>
      <c r="H68" s="3" t="s">
        <v>222</v>
      </c>
      <c r="I68" s="3" t="s">
        <v>223</v>
      </c>
      <c r="J68" s="3" t="s">
        <v>18</v>
      </c>
      <c r="K68" s="3">
        <v>1865.98</v>
      </c>
      <c r="L68" s="3">
        <v>3</v>
      </c>
      <c r="M68" s="3">
        <v>331.52</v>
      </c>
      <c r="N68" s="3">
        <v>0.02</v>
      </c>
    </row>
    <row r="69" spans="3:14" ht="15.75" customHeight="1">
      <c r="C69" s="3" t="s">
        <v>224</v>
      </c>
      <c r="D69" s="25">
        <v>45870</v>
      </c>
      <c r="E69" s="3" t="s">
        <v>28</v>
      </c>
      <c r="F69" s="3" t="s">
        <v>21</v>
      </c>
      <c r="G69" s="3" t="s">
        <v>15</v>
      </c>
      <c r="H69" s="3" t="s">
        <v>225</v>
      </c>
      <c r="I69" s="3" t="s">
        <v>226</v>
      </c>
      <c r="J69" s="3" t="s">
        <v>39</v>
      </c>
      <c r="K69" s="3">
        <v>747.25</v>
      </c>
      <c r="L69" s="3">
        <v>7</v>
      </c>
      <c r="M69" s="3">
        <v>268.73</v>
      </c>
      <c r="N69" s="3">
        <v>0.13</v>
      </c>
    </row>
    <row r="70" spans="3:14" ht="15.75" customHeight="1">
      <c r="C70" s="3" t="s">
        <v>227</v>
      </c>
      <c r="D70" s="25">
        <v>45766</v>
      </c>
      <c r="E70" s="3" t="s">
        <v>28</v>
      </c>
      <c r="F70" s="3" t="s">
        <v>21</v>
      </c>
      <c r="G70" s="3" t="s">
        <v>15</v>
      </c>
      <c r="H70" s="3" t="s">
        <v>228</v>
      </c>
      <c r="I70" s="3" t="s">
        <v>229</v>
      </c>
      <c r="J70" s="3" t="s">
        <v>18</v>
      </c>
      <c r="K70" s="3">
        <v>675.05</v>
      </c>
      <c r="L70" s="3">
        <v>10</v>
      </c>
      <c r="M70" s="3">
        <v>184.81</v>
      </c>
      <c r="N70" s="3">
        <v>0.08</v>
      </c>
    </row>
    <row r="71" spans="3:14" ht="15.75" customHeight="1">
      <c r="C71" s="3" t="s">
        <v>230</v>
      </c>
      <c r="D71" s="25">
        <v>45834</v>
      </c>
      <c r="E71" s="3" t="s">
        <v>20</v>
      </c>
      <c r="F71" s="3" t="s">
        <v>14</v>
      </c>
      <c r="G71" s="3" t="s">
        <v>15</v>
      </c>
      <c r="H71" s="3" t="s">
        <v>231</v>
      </c>
      <c r="I71" s="3" t="s">
        <v>232</v>
      </c>
      <c r="J71" s="3" t="s">
        <v>18</v>
      </c>
      <c r="K71" s="3">
        <v>1335.36</v>
      </c>
      <c r="L71" s="3">
        <v>9</v>
      </c>
      <c r="M71" s="3">
        <v>165.23</v>
      </c>
      <c r="N71" s="3">
        <v>0.08</v>
      </c>
    </row>
    <row r="72" spans="3:14" ht="15.75" customHeight="1">
      <c r="C72" s="3" t="s">
        <v>233</v>
      </c>
      <c r="D72" s="25">
        <v>45766</v>
      </c>
      <c r="E72" s="3" t="s">
        <v>28</v>
      </c>
      <c r="F72" s="3" t="s">
        <v>32</v>
      </c>
      <c r="G72" s="3" t="s">
        <v>15</v>
      </c>
      <c r="H72" s="3" t="s">
        <v>234</v>
      </c>
      <c r="I72" s="3" t="s">
        <v>235</v>
      </c>
      <c r="J72" s="3" t="s">
        <v>35</v>
      </c>
      <c r="K72" s="3">
        <v>1746.75</v>
      </c>
      <c r="L72" s="3">
        <v>10</v>
      </c>
      <c r="M72" s="3">
        <v>504.57</v>
      </c>
      <c r="N72" s="3">
        <v>0.27</v>
      </c>
    </row>
    <row r="73" spans="3:14" ht="15.75" customHeight="1">
      <c r="C73" s="3" t="s">
        <v>236</v>
      </c>
      <c r="D73" s="25">
        <v>45673</v>
      </c>
      <c r="E73" s="3" t="s">
        <v>13</v>
      </c>
      <c r="F73" s="3" t="s">
        <v>14</v>
      </c>
      <c r="G73" s="3" t="s">
        <v>15</v>
      </c>
      <c r="H73" s="3" t="s">
        <v>237</v>
      </c>
      <c r="I73" s="3" t="s">
        <v>238</v>
      </c>
      <c r="J73" s="3" t="s">
        <v>35</v>
      </c>
      <c r="K73" s="3">
        <v>1292.6500000000001</v>
      </c>
      <c r="L73" s="3">
        <v>9</v>
      </c>
      <c r="M73" s="3">
        <v>339.52</v>
      </c>
      <c r="N73" s="3">
        <v>0.16</v>
      </c>
    </row>
    <row r="74" spans="3:14" ht="15.75" customHeight="1">
      <c r="C74" s="3" t="s">
        <v>239</v>
      </c>
      <c r="D74" s="25">
        <v>45764</v>
      </c>
      <c r="E74" s="3" t="s">
        <v>28</v>
      </c>
      <c r="F74" s="3" t="s">
        <v>14</v>
      </c>
      <c r="G74" s="3" t="s">
        <v>15</v>
      </c>
      <c r="H74" s="3" t="s">
        <v>240</v>
      </c>
      <c r="I74" s="3" t="s">
        <v>241</v>
      </c>
      <c r="J74" s="3" t="s">
        <v>39</v>
      </c>
      <c r="K74" s="3">
        <v>488.13</v>
      </c>
      <c r="L74" s="3">
        <v>8</v>
      </c>
      <c r="M74" s="3">
        <v>57.13</v>
      </c>
      <c r="N74" s="3">
        <v>0.05</v>
      </c>
    </row>
    <row r="75" spans="3:14" ht="15.75" customHeight="1">
      <c r="C75" s="3" t="s">
        <v>242</v>
      </c>
      <c r="D75" s="25">
        <v>45719</v>
      </c>
      <c r="E75" s="3" t="s">
        <v>28</v>
      </c>
      <c r="F75" s="3" t="s">
        <v>32</v>
      </c>
      <c r="G75" s="3" t="s">
        <v>15</v>
      </c>
      <c r="H75" s="3" t="s">
        <v>243</v>
      </c>
      <c r="I75" s="3" t="s">
        <v>244</v>
      </c>
      <c r="J75" s="3" t="s">
        <v>35</v>
      </c>
      <c r="K75" s="3">
        <v>1785.41</v>
      </c>
      <c r="L75" s="3">
        <v>10</v>
      </c>
      <c r="M75" s="3">
        <v>556.27</v>
      </c>
      <c r="N75" s="3">
        <v>0.09</v>
      </c>
    </row>
    <row r="76" spans="3:14" ht="15.75" customHeight="1">
      <c r="C76" s="3" t="s">
        <v>245</v>
      </c>
      <c r="D76" s="25">
        <v>45986</v>
      </c>
      <c r="E76" s="3" t="s">
        <v>28</v>
      </c>
      <c r="F76" s="3" t="s">
        <v>21</v>
      </c>
      <c r="G76" s="3" t="s">
        <v>15</v>
      </c>
      <c r="H76" s="3" t="s">
        <v>246</v>
      </c>
      <c r="I76" s="3" t="s">
        <v>247</v>
      </c>
      <c r="J76" s="3" t="s">
        <v>39</v>
      </c>
      <c r="K76" s="3">
        <v>1524.37</v>
      </c>
      <c r="L76" s="3">
        <v>8</v>
      </c>
      <c r="M76" s="3">
        <v>264.33999999999997</v>
      </c>
      <c r="N76" s="3">
        <v>0.06</v>
      </c>
    </row>
    <row r="77" spans="3:14" ht="15.75" customHeight="1">
      <c r="C77" s="3" t="s">
        <v>248</v>
      </c>
      <c r="D77" s="25">
        <v>45878</v>
      </c>
      <c r="E77" s="3" t="s">
        <v>28</v>
      </c>
      <c r="F77" s="3" t="s">
        <v>32</v>
      </c>
      <c r="G77" s="3" t="s">
        <v>15</v>
      </c>
      <c r="H77" s="3" t="s">
        <v>249</v>
      </c>
      <c r="I77" s="3" t="s">
        <v>250</v>
      </c>
      <c r="J77" s="3" t="s">
        <v>39</v>
      </c>
      <c r="K77" s="3">
        <v>1723.73</v>
      </c>
      <c r="L77" s="3">
        <v>8</v>
      </c>
      <c r="M77" s="3">
        <v>619.78</v>
      </c>
      <c r="N77" s="3">
        <v>0.02</v>
      </c>
    </row>
    <row r="78" spans="3:14" ht="15.75" customHeight="1">
      <c r="C78" s="3" t="s">
        <v>251</v>
      </c>
      <c r="D78" s="25">
        <v>45878</v>
      </c>
      <c r="E78" s="3" t="s">
        <v>41</v>
      </c>
      <c r="F78" s="3" t="s">
        <v>21</v>
      </c>
      <c r="G78" s="3" t="s">
        <v>15</v>
      </c>
      <c r="H78" s="3" t="s">
        <v>252</v>
      </c>
      <c r="I78" s="3" t="s">
        <v>253</v>
      </c>
      <c r="J78" s="3" t="s">
        <v>35</v>
      </c>
      <c r="K78" s="3">
        <v>304.81</v>
      </c>
      <c r="L78" s="3">
        <v>3</v>
      </c>
      <c r="M78" s="3">
        <v>75.63</v>
      </c>
      <c r="N78" s="3">
        <v>0.08</v>
      </c>
    </row>
    <row r="79" spans="3:14" ht="15.75" customHeight="1">
      <c r="C79" s="3" t="s">
        <v>254</v>
      </c>
      <c r="D79" s="25">
        <v>46011</v>
      </c>
      <c r="E79" s="3" t="s">
        <v>20</v>
      </c>
      <c r="F79" s="3" t="s">
        <v>21</v>
      </c>
      <c r="G79" s="3" t="s">
        <v>15</v>
      </c>
      <c r="H79" s="3" t="s">
        <v>255</v>
      </c>
      <c r="I79" s="3" t="s">
        <v>256</v>
      </c>
      <c r="J79" s="3" t="s">
        <v>39</v>
      </c>
      <c r="K79" s="3">
        <v>918.17</v>
      </c>
      <c r="L79" s="3">
        <v>9</v>
      </c>
      <c r="M79" s="3">
        <v>70.569999999999993</v>
      </c>
      <c r="N79" s="3">
        <v>0.2</v>
      </c>
    </row>
    <row r="80" spans="3:14" ht="15.75" customHeight="1">
      <c r="C80" s="3" t="s">
        <v>257</v>
      </c>
      <c r="D80" s="25">
        <v>45737</v>
      </c>
      <c r="E80" s="3" t="s">
        <v>28</v>
      </c>
      <c r="F80" s="3" t="s">
        <v>21</v>
      </c>
      <c r="G80" s="3" t="s">
        <v>15</v>
      </c>
      <c r="H80" s="3" t="s">
        <v>258</v>
      </c>
      <c r="I80" s="3" t="s">
        <v>259</v>
      </c>
      <c r="J80" s="3" t="s">
        <v>39</v>
      </c>
      <c r="K80" s="3">
        <v>1686.71</v>
      </c>
      <c r="L80" s="3">
        <v>6</v>
      </c>
      <c r="M80" s="3">
        <v>159.78</v>
      </c>
      <c r="N80" s="3">
        <v>0.27</v>
      </c>
    </row>
    <row r="81" spans="3:14" ht="15.75" customHeight="1">
      <c r="C81" s="3" t="s">
        <v>260</v>
      </c>
      <c r="D81" s="25">
        <v>45815</v>
      </c>
      <c r="E81" s="3" t="s">
        <v>13</v>
      </c>
      <c r="F81" s="3" t="s">
        <v>21</v>
      </c>
      <c r="G81" s="3" t="s">
        <v>15</v>
      </c>
      <c r="H81" s="3" t="s">
        <v>261</v>
      </c>
      <c r="I81" s="3" t="s">
        <v>262</v>
      </c>
      <c r="J81" s="3" t="s">
        <v>18</v>
      </c>
      <c r="K81" s="3">
        <v>744.42</v>
      </c>
      <c r="L81" s="3">
        <v>2</v>
      </c>
      <c r="M81" s="3">
        <v>239.46</v>
      </c>
      <c r="N81" s="3">
        <v>0.12</v>
      </c>
    </row>
    <row r="82" spans="3:14" ht="15.75" customHeight="1">
      <c r="C82" s="3" t="s">
        <v>263</v>
      </c>
      <c r="D82" s="25">
        <v>45822</v>
      </c>
      <c r="E82" s="3" t="s">
        <v>41</v>
      </c>
      <c r="F82" s="3" t="s">
        <v>32</v>
      </c>
      <c r="G82" s="3" t="s">
        <v>15</v>
      </c>
      <c r="H82" s="3" t="s">
        <v>264</v>
      </c>
      <c r="I82" s="3" t="s">
        <v>265</v>
      </c>
      <c r="J82" s="3" t="s">
        <v>18</v>
      </c>
      <c r="K82" s="3">
        <v>401.75</v>
      </c>
      <c r="L82" s="3">
        <v>3</v>
      </c>
      <c r="M82" s="3">
        <v>135.93</v>
      </c>
      <c r="N82" s="3">
        <v>0.11</v>
      </c>
    </row>
    <row r="83" spans="3:14" ht="15.75" customHeight="1">
      <c r="C83" s="3" t="s">
        <v>266</v>
      </c>
      <c r="D83" s="25">
        <v>45841</v>
      </c>
      <c r="E83" s="3" t="s">
        <v>41</v>
      </c>
      <c r="F83" s="3" t="s">
        <v>32</v>
      </c>
      <c r="G83" s="3" t="s">
        <v>15</v>
      </c>
      <c r="H83" s="3" t="s">
        <v>267</v>
      </c>
      <c r="I83" s="3" t="s">
        <v>268</v>
      </c>
      <c r="J83" s="3" t="s">
        <v>18</v>
      </c>
      <c r="K83" s="3">
        <v>932.66</v>
      </c>
      <c r="L83" s="3">
        <v>1</v>
      </c>
      <c r="M83" s="3">
        <v>149.46</v>
      </c>
      <c r="N83" s="3">
        <v>0.11</v>
      </c>
    </row>
    <row r="84" spans="3:14" ht="15.75" customHeight="1">
      <c r="C84" s="3" t="s">
        <v>269</v>
      </c>
      <c r="D84" s="25">
        <v>45967</v>
      </c>
      <c r="E84" s="3" t="s">
        <v>20</v>
      </c>
      <c r="F84" s="3" t="s">
        <v>32</v>
      </c>
      <c r="G84" s="3" t="s">
        <v>15</v>
      </c>
      <c r="H84" s="3" t="s">
        <v>270</v>
      </c>
      <c r="I84" s="3" t="s">
        <v>271</v>
      </c>
      <c r="J84" s="3" t="s">
        <v>18</v>
      </c>
      <c r="K84" s="3">
        <v>965.2</v>
      </c>
      <c r="L84" s="3">
        <v>7</v>
      </c>
      <c r="M84" s="3">
        <v>101.14</v>
      </c>
      <c r="N84" s="3">
        <v>0.19</v>
      </c>
    </row>
    <row r="85" spans="3:14" ht="15.75" customHeight="1">
      <c r="C85" s="3" t="s">
        <v>272</v>
      </c>
      <c r="D85" s="25">
        <v>45878</v>
      </c>
      <c r="E85" s="3" t="s">
        <v>41</v>
      </c>
      <c r="F85" s="3" t="s">
        <v>32</v>
      </c>
      <c r="G85" s="3" t="s">
        <v>15</v>
      </c>
      <c r="H85" s="3" t="s">
        <v>273</v>
      </c>
      <c r="I85" s="3" t="s">
        <v>274</v>
      </c>
      <c r="J85" s="3" t="s">
        <v>18</v>
      </c>
      <c r="K85" s="3">
        <v>387.7</v>
      </c>
      <c r="L85" s="3">
        <v>6</v>
      </c>
      <c r="M85" s="3">
        <v>138.15</v>
      </c>
      <c r="N85" s="3">
        <v>0.25</v>
      </c>
    </row>
    <row r="86" spans="3:14" ht="15.75" customHeight="1">
      <c r="C86" s="3" t="s">
        <v>275</v>
      </c>
      <c r="D86" s="25">
        <v>45834</v>
      </c>
      <c r="E86" s="3" t="s">
        <v>41</v>
      </c>
      <c r="F86" s="3" t="s">
        <v>14</v>
      </c>
      <c r="G86" s="3" t="s">
        <v>15</v>
      </c>
      <c r="H86" s="3" t="s">
        <v>276</v>
      </c>
      <c r="I86" s="3" t="s">
        <v>277</v>
      </c>
      <c r="J86" s="3" t="s">
        <v>35</v>
      </c>
      <c r="K86" s="3">
        <v>433.14</v>
      </c>
      <c r="L86" s="3">
        <v>5</v>
      </c>
      <c r="M86" s="3">
        <v>150.16</v>
      </c>
      <c r="N86" s="3">
        <v>0.12</v>
      </c>
    </row>
    <row r="87" spans="3:14" ht="15.75" customHeight="1">
      <c r="C87" s="3" t="s">
        <v>278</v>
      </c>
      <c r="D87" s="25">
        <v>46002</v>
      </c>
      <c r="E87" s="3" t="s">
        <v>20</v>
      </c>
      <c r="F87" s="3" t="s">
        <v>21</v>
      </c>
      <c r="G87" s="3" t="s">
        <v>15</v>
      </c>
      <c r="H87" s="3" t="s">
        <v>279</v>
      </c>
      <c r="I87" s="3" t="s">
        <v>280</v>
      </c>
      <c r="J87" s="3" t="s">
        <v>18</v>
      </c>
      <c r="K87" s="3">
        <v>163.66999999999999</v>
      </c>
      <c r="L87" s="3">
        <v>1</v>
      </c>
      <c r="M87" s="3">
        <v>47.8</v>
      </c>
      <c r="N87" s="3">
        <v>0.02</v>
      </c>
    </row>
    <row r="88" spans="3:14" ht="15.75" customHeight="1">
      <c r="C88" s="3" t="s">
        <v>281</v>
      </c>
      <c r="D88" s="25">
        <v>45927</v>
      </c>
      <c r="E88" s="3" t="s">
        <v>28</v>
      </c>
      <c r="F88" s="3" t="s">
        <v>32</v>
      </c>
      <c r="G88" s="3" t="s">
        <v>15</v>
      </c>
      <c r="H88" s="3" t="s">
        <v>282</v>
      </c>
      <c r="I88" s="3" t="s">
        <v>283</v>
      </c>
      <c r="J88" s="3" t="s">
        <v>39</v>
      </c>
      <c r="K88" s="3">
        <v>787.83</v>
      </c>
      <c r="L88" s="3">
        <v>10</v>
      </c>
      <c r="M88" s="3">
        <v>292.73</v>
      </c>
      <c r="N88" s="3">
        <v>0.21</v>
      </c>
    </row>
    <row r="89" spans="3:14" ht="15.75" customHeight="1">
      <c r="C89" s="3" t="s">
        <v>284</v>
      </c>
      <c r="D89" s="25">
        <v>45939</v>
      </c>
      <c r="E89" s="3" t="s">
        <v>28</v>
      </c>
      <c r="F89" s="3" t="s">
        <v>32</v>
      </c>
      <c r="G89" s="3" t="s">
        <v>15</v>
      </c>
      <c r="H89" s="3" t="s">
        <v>285</v>
      </c>
      <c r="I89" s="3" t="s">
        <v>286</v>
      </c>
      <c r="J89" s="3" t="s">
        <v>35</v>
      </c>
      <c r="K89" s="3">
        <v>497.74</v>
      </c>
      <c r="L89" s="3">
        <v>5</v>
      </c>
      <c r="M89" s="3">
        <v>167.18</v>
      </c>
      <c r="N89" s="3">
        <v>0.01</v>
      </c>
    </row>
    <row r="90" spans="3:14" ht="15.75" customHeight="1">
      <c r="C90" s="3" t="s">
        <v>287</v>
      </c>
      <c r="D90" s="25">
        <v>45888</v>
      </c>
      <c r="E90" s="3" t="s">
        <v>13</v>
      </c>
      <c r="F90" s="3" t="s">
        <v>21</v>
      </c>
      <c r="G90" s="3" t="s">
        <v>15</v>
      </c>
      <c r="H90" s="3" t="s">
        <v>288</v>
      </c>
      <c r="I90" s="3" t="s">
        <v>289</v>
      </c>
      <c r="J90" s="3" t="s">
        <v>39</v>
      </c>
      <c r="K90" s="3">
        <v>1937.62</v>
      </c>
      <c r="L90" s="3">
        <v>3</v>
      </c>
      <c r="M90" s="3">
        <v>589.79</v>
      </c>
      <c r="N90" s="3">
        <v>0.11</v>
      </c>
    </row>
    <row r="91" spans="3:14" ht="15.75" customHeight="1">
      <c r="C91" s="3" t="s">
        <v>290</v>
      </c>
      <c r="D91" s="25">
        <v>45743</v>
      </c>
      <c r="E91" s="3" t="s">
        <v>20</v>
      </c>
      <c r="F91" s="3" t="s">
        <v>14</v>
      </c>
      <c r="G91" s="3" t="s">
        <v>15</v>
      </c>
      <c r="H91" s="3" t="s">
        <v>291</v>
      </c>
      <c r="I91" s="3" t="s">
        <v>292</v>
      </c>
      <c r="J91" s="3" t="s">
        <v>39</v>
      </c>
      <c r="K91" s="3">
        <v>1370.2</v>
      </c>
      <c r="L91" s="3">
        <v>9</v>
      </c>
      <c r="M91" s="3">
        <v>546.02</v>
      </c>
      <c r="N91" s="3">
        <v>0.11</v>
      </c>
    </row>
    <row r="92" spans="3:14" ht="15.75" customHeight="1">
      <c r="C92" s="3" t="s">
        <v>293</v>
      </c>
      <c r="D92" s="25">
        <v>45696</v>
      </c>
      <c r="E92" s="3" t="s">
        <v>28</v>
      </c>
      <c r="F92" s="3" t="s">
        <v>32</v>
      </c>
      <c r="G92" s="3" t="s">
        <v>15</v>
      </c>
      <c r="H92" s="3" t="s">
        <v>294</v>
      </c>
      <c r="I92" s="3" t="s">
        <v>295</v>
      </c>
      <c r="J92" s="3" t="s">
        <v>39</v>
      </c>
      <c r="K92" s="3">
        <v>1014.69</v>
      </c>
      <c r="L92" s="3">
        <v>1</v>
      </c>
      <c r="M92" s="3">
        <v>146.44</v>
      </c>
      <c r="N92" s="3">
        <v>0.05</v>
      </c>
    </row>
    <row r="93" spans="3:14" ht="15.75" customHeight="1">
      <c r="C93" s="3" t="s">
        <v>296</v>
      </c>
      <c r="D93" s="25">
        <v>45919</v>
      </c>
      <c r="E93" s="3" t="s">
        <v>13</v>
      </c>
      <c r="F93" s="3" t="s">
        <v>14</v>
      </c>
      <c r="G93" s="3" t="s">
        <v>15</v>
      </c>
      <c r="H93" s="3" t="s">
        <v>297</v>
      </c>
      <c r="I93" s="3" t="s">
        <v>298</v>
      </c>
      <c r="J93" s="3" t="s">
        <v>39</v>
      </c>
      <c r="K93" s="3">
        <v>809.81</v>
      </c>
      <c r="L93" s="3">
        <v>6</v>
      </c>
      <c r="M93" s="3">
        <v>105.67</v>
      </c>
      <c r="N93" s="3">
        <v>0.19</v>
      </c>
    </row>
    <row r="94" spans="3:14" ht="15.75" customHeight="1">
      <c r="C94" s="3" t="s">
        <v>299</v>
      </c>
      <c r="D94" s="25">
        <v>45741</v>
      </c>
      <c r="E94" s="3" t="s">
        <v>20</v>
      </c>
      <c r="F94" s="3" t="s">
        <v>21</v>
      </c>
      <c r="G94" s="3" t="s">
        <v>15</v>
      </c>
      <c r="H94" s="3" t="s">
        <v>300</v>
      </c>
      <c r="I94" s="3" t="s">
        <v>301</v>
      </c>
      <c r="J94" s="3" t="s">
        <v>18</v>
      </c>
      <c r="K94" s="3">
        <v>933.32</v>
      </c>
      <c r="L94" s="3">
        <v>3</v>
      </c>
      <c r="M94" s="3">
        <v>310.8</v>
      </c>
      <c r="N94" s="3">
        <v>0.18</v>
      </c>
    </row>
    <row r="95" spans="3:14" ht="15.75" customHeight="1">
      <c r="C95" s="3" t="s">
        <v>302</v>
      </c>
      <c r="D95" s="25">
        <v>45830</v>
      </c>
      <c r="E95" s="3" t="s">
        <v>13</v>
      </c>
      <c r="F95" s="3" t="s">
        <v>21</v>
      </c>
      <c r="G95" s="3" t="s">
        <v>15</v>
      </c>
      <c r="H95" s="3" t="s">
        <v>303</v>
      </c>
      <c r="I95" s="3" t="s">
        <v>304</v>
      </c>
      <c r="J95" s="3" t="s">
        <v>35</v>
      </c>
      <c r="K95" s="3">
        <v>900.38</v>
      </c>
      <c r="L95" s="3">
        <v>5</v>
      </c>
      <c r="M95" s="3">
        <v>68.72</v>
      </c>
      <c r="N95" s="3">
        <v>0.25</v>
      </c>
    </row>
    <row r="96" spans="3:14" ht="15.75" customHeight="1">
      <c r="C96" s="3" t="s">
        <v>305</v>
      </c>
      <c r="D96" s="25">
        <v>46003</v>
      </c>
      <c r="E96" s="3" t="s">
        <v>13</v>
      </c>
      <c r="F96" s="3" t="s">
        <v>21</v>
      </c>
      <c r="G96" s="3" t="s">
        <v>15</v>
      </c>
      <c r="H96" s="3" t="s">
        <v>306</v>
      </c>
      <c r="I96" s="3" t="s">
        <v>307</v>
      </c>
      <c r="J96" s="3" t="s">
        <v>35</v>
      </c>
      <c r="K96" s="3">
        <v>1038.3399999999999</v>
      </c>
      <c r="L96" s="3">
        <v>9</v>
      </c>
      <c r="M96" s="3">
        <v>187.15</v>
      </c>
      <c r="N96" s="3">
        <v>0.13</v>
      </c>
    </row>
    <row r="97" spans="3:14" ht="15.75" customHeight="1">
      <c r="C97" s="3" t="s">
        <v>308</v>
      </c>
      <c r="D97" s="25">
        <v>45720</v>
      </c>
      <c r="E97" s="3" t="s">
        <v>28</v>
      </c>
      <c r="F97" s="3" t="s">
        <v>14</v>
      </c>
      <c r="G97" s="3" t="s">
        <v>15</v>
      </c>
      <c r="H97" s="3" t="s">
        <v>309</v>
      </c>
      <c r="I97" s="3" t="s">
        <v>310</v>
      </c>
      <c r="J97" s="3" t="s">
        <v>18</v>
      </c>
      <c r="K97" s="3">
        <v>791.5</v>
      </c>
      <c r="L97" s="3">
        <v>7</v>
      </c>
      <c r="M97" s="3">
        <v>275.18</v>
      </c>
      <c r="N97" s="3">
        <v>0.11</v>
      </c>
    </row>
    <row r="98" spans="3:14" ht="15.75" customHeight="1">
      <c r="C98" s="3" t="s">
        <v>311</v>
      </c>
      <c r="D98" s="25">
        <v>45864</v>
      </c>
      <c r="E98" s="3" t="s">
        <v>20</v>
      </c>
      <c r="F98" s="3" t="s">
        <v>32</v>
      </c>
      <c r="G98" s="3" t="s">
        <v>15</v>
      </c>
      <c r="H98" s="3" t="s">
        <v>312</v>
      </c>
      <c r="I98" s="3" t="s">
        <v>313</v>
      </c>
      <c r="J98" s="3" t="s">
        <v>39</v>
      </c>
      <c r="K98" s="3">
        <v>1406.07</v>
      </c>
      <c r="L98" s="3">
        <v>4</v>
      </c>
      <c r="M98" s="3">
        <v>97.98</v>
      </c>
      <c r="N98" s="3">
        <v>0.21</v>
      </c>
    </row>
    <row r="99" spans="3:14" ht="15.75" customHeight="1">
      <c r="C99" s="3" t="s">
        <v>314</v>
      </c>
      <c r="D99" s="25">
        <v>45809</v>
      </c>
      <c r="E99" s="3" t="s">
        <v>20</v>
      </c>
      <c r="F99" s="3" t="s">
        <v>21</v>
      </c>
      <c r="G99" s="3" t="s">
        <v>15</v>
      </c>
      <c r="H99" s="3" t="s">
        <v>315</v>
      </c>
      <c r="I99" s="3" t="s">
        <v>316</v>
      </c>
      <c r="J99" s="3" t="s">
        <v>39</v>
      </c>
      <c r="K99" s="3">
        <v>1774.27</v>
      </c>
      <c r="L99" s="3">
        <v>10</v>
      </c>
      <c r="M99" s="3">
        <v>408.23</v>
      </c>
      <c r="N99" s="3">
        <v>0.03</v>
      </c>
    </row>
    <row r="100" spans="3:14" ht="15.75" customHeight="1">
      <c r="C100" s="3" t="s">
        <v>317</v>
      </c>
      <c r="D100" s="25">
        <v>45769</v>
      </c>
      <c r="E100" s="3" t="s">
        <v>28</v>
      </c>
      <c r="F100" s="3" t="s">
        <v>21</v>
      </c>
      <c r="G100" s="3" t="s">
        <v>15</v>
      </c>
      <c r="H100" s="3" t="s">
        <v>318</v>
      </c>
      <c r="I100" s="3" t="s">
        <v>319</v>
      </c>
      <c r="J100" s="3" t="s">
        <v>35</v>
      </c>
      <c r="K100" s="3">
        <v>1298.04</v>
      </c>
      <c r="L100" s="3">
        <v>7</v>
      </c>
      <c r="M100" s="3">
        <v>368.23</v>
      </c>
      <c r="N100" s="3">
        <v>0.08</v>
      </c>
    </row>
    <row r="101" spans="3:14" ht="15" customHeight="1">
      <c r="C101" s="3" t="s">
        <v>320</v>
      </c>
      <c r="D101" s="25">
        <v>45841</v>
      </c>
      <c r="E101" s="3" t="s">
        <v>20</v>
      </c>
      <c r="F101" s="3" t="s">
        <v>14</v>
      </c>
      <c r="G101" s="3" t="s">
        <v>15</v>
      </c>
      <c r="H101" s="3" t="s">
        <v>321</v>
      </c>
      <c r="I101" s="3" t="s">
        <v>322</v>
      </c>
      <c r="J101" s="3" t="s">
        <v>18</v>
      </c>
      <c r="K101" s="3">
        <v>1041.47</v>
      </c>
      <c r="L101" s="3">
        <v>7</v>
      </c>
      <c r="M101" s="3">
        <v>91.72</v>
      </c>
      <c r="N101" s="3">
        <v>0.11</v>
      </c>
    </row>
    <row r="102" spans="3:14" ht="15" customHeight="1">
      <c r="C102" s="3" t="s">
        <v>323</v>
      </c>
      <c r="D102" s="25">
        <v>45862</v>
      </c>
      <c r="E102" s="3" t="s">
        <v>28</v>
      </c>
      <c r="F102" s="3" t="s">
        <v>14</v>
      </c>
      <c r="G102" s="3" t="s">
        <v>15</v>
      </c>
      <c r="H102" s="3" t="s">
        <v>324</v>
      </c>
      <c r="I102" s="3" t="s">
        <v>325</v>
      </c>
      <c r="J102" s="3" t="s">
        <v>35</v>
      </c>
      <c r="K102" s="3">
        <v>573.94000000000005</v>
      </c>
      <c r="L102" s="3">
        <v>10</v>
      </c>
      <c r="M102" s="3">
        <v>174.95</v>
      </c>
      <c r="N102" s="3">
        <v>7.0000000000000007E-2</v>
      </c>
    </row>
    <row r="103" spans="3:14" ht="15" customHeight="1">
      <c r="C103" s="3" t="s">
        <v>326</v>
      </c>
      <c r="D103" s="25">
        <v>46006</v>
      </c>
      <c r="E103" s="3" t="s">
        <v>13</v>
      </c>
      <c r="F103" s="3" t="s">
        <v>21</v>
      </c>
      <c r="G103" s="3" t="s">
        <v>15</v>
      </c>
      <c r="H103" s="3" t="s">
        <v>327</v>
      </c>
      <c r="I103" s="3" t="s">
        <v>328</v>
      </c>
      <c r="J103" s="3" t="s">
        <v>35</v>
      </c>
      <c r="K103" s="3">
        <v>1859.37</v>
      </c>
      <c r="L103" s="3">
        <v>10</v>
      </c>
      <c r="M103" s="3">
        <v>261.82</v>
      </c>
      <c r="N103" s="3">
        <v>0.18</v>
      </c>
    </row>
    <row r="104" spans="3:14" ht="15" customHeight="1">
      <c r="C104" s="3" t="s">
        <v>329</v>
      </c>
      <c r="D104" s="25">
        <v>46019</v>
      </c>
      <c r="E104" s="3" t="s">
        <v>13</v>
      </c>
      <c r="F104" s="3" t="s">
        <v>21</v>
      </c>
      <c r="G104" s="3" t="s">
        <v>15</v>
      </c>
      <c r="H104" s="3" t="s">
        <v>330</v>
      </c>
      <c r="I104" s="3" t="s">
        <v>331</v>
      </c>
      <c r="J104" s="3" t="s">
        <v>35</v>
      </c>
      <c r="K104" s="3">
        <v>1951.97</v>
      </c>
      <c r="L104" s="3">
        <v>8</v>
      </c>
      <c r="M104" s="3">
        <v>242.52</v>
      </c>
      <c r="N104" s="3">
        <v>0.25</v>
      </c>
    </row>
    <row r="105" spans="3:14" ht="15" customHeight="1">
      <c r="C105" s="3" t="s">
        <v>332</v>
      </c>
      <c r="D105" s="25">
        <v>45763</v>
      </c>
      <c r="E105" s="3" t="s">
        <v>13</v>
      </c>
      <c r="F105" s="3" t="s">
        <v>32</v>
      </c>
      <c r="G105" s="3" t="s">
        <v>15</v>
      </c>
      <c r="H105" s="3" t="s">
        <v>333</v>
      </c>
      <c r="I105" s="3" t="s">
        <v>334</v>
      </c>
      <c r="J105" s="3" t="s">
        <v>35</v>
      </c>
      <c r="K105" s="3">
        <v>1521.47</v>
      </c>
      <c r="L105" s="3">
        <v>1</v>
      </c>
      <c r="M105" s="3">
        <v>120.08</v>
      </c>
      <c r="N105" s="3">
        <v>0.04</v>
      </c>
    </row>
    <row r="106" spans="3:14" ht="15" customHeight="1">
      <c r="C106" s="3" t="s">
        <v>335</v>
      </c>
      <c r="D106" s="25">
        <v>45782</v>
      </c>
      <c r="E106" s="3" t="s">
        <v>13</v>
      </c>
      <c r="F106" s="3" t="s">
        <v>32</v>
      </c>
      <c r="G106" s="3" t="s">
        <v>15</v>
      </c>
      <c r="H106" s="3" t="s">
        <v>336</v>
      </c>
      <c r="I106" s="3" t="s">
        <v>337</v>
      </c>
      <c r="J106" s="3" t="s">
        <v>18</v>
      </c>
      <c r="K106" s="3">
        <v>158.16</v>
      </c>
      <c r="L106" s="3">
        <v>10</v>
      </c>
      <c r="M106" s="3">
        <v>24.33</v>
      </c>
      <c r="N106" s="3">
        <v>0.18</v>
      </c>
    </row>
    <row r="107" spans="3:14" ht="15" customHeight="1">
      <c r="C107" s="3" t="s">
        <v>338</v>
      </c>
      <c r="D107" s="25">
        <v>45799</v>
      </c>
      <c r="E107" s="3" t="s">
        <v>13</v>
      </c>
      <c r="F107" s="3" t="s">
        <v>21</v>
      </c>
      <c r="G107" s="3" t="s">
        <v>15</v>
      </c>
      <c r="H107" s="3" t="s">
        <v>339</v>
      </c>
      <c r="I107" s="3" t="s">
        <v>340</v>
      </c>
      <c r="J107" s="3" t="s">
        <v>18</v>
      </c>
      <c r="K107" s="3">
        <v>1578.82</v>
      </c>
      <c r="L107" s="3">
        <v>8</v>
      </c>
      <c r="M107" s="3">
        <v>253.36</v>
      </c>
      <c r="N107" s="3">
        <v>7.0000000000000007E-2</v>
      </c>
    </row>
    <row r="108" spans="3:14" ht="15" customHeight="1">
      <c r="C108" s="3" t="s">
        <v>341</v>
      </c>
      <c r="D108" s="25">
        <v>45936</v>
      </c>
      <c r="E108" s="3" t="s">
        <v>41</v>
      </c>
      <c r="F108" s="3" t="s">
        <v>21</v>
      </c>
      <c r="G108" s="3" t="s">
        <v>15</v>
      </c>
      <c r="H108" s="3" t="s">
        <v>342</v>
      </c>
      <c r="I108" s="3" t="s">
        <v>343</v>
      </c>
      <c r="J108" s="3" t="s">
        <v>39</v>
      </c>
      <c r="K108" s="3">
        <v>727.58</v>
      </c>
      <c r="L108" s="3">
        <v>9</v>
      </c>
      <c r="M108" s="3">
        <v>112.75</v>
      </c>
      <c r="N108" s="3">
        <v>0.02</v>
      </c>
    </row>
    <row r="109" spans="3:14" ht="15" customHeight="1">
      <c r="C109" s="3" t="s">
        <v>344</v>
      </c>
      <c r="D109" s="25">
        <v>45683</v>
      </c>
      <c r="E109" s="3" t="s">
        <v>13</v>
      </c>
      <c r="F109" s="3" t="s">
        <v>21</v>
      </c>
      <c r="G109" s="3" t="s">
        <v>15</v>
      </c>
      <c r="H109" s="3" t="s">
        <v>345</v>
      </c>
      <c r="I109" s="3" t="s">
        <v>346</v>
      </c>
      <c r="J109" s="3" t="s">
        <v>39</v>
      </c>
      <c r="K109" s="3">
        <v>1170.1400000000001</v>
      </c>
      <c r="L109" s="3">
        <v>5</v>
      </c>
      <c r="M109" s="3">
        <v>369.06</v>
      </c>
      <c r="N109" s="3">
        <v>0.21</v>
      </c>
    </row>
    <row r="110" spans="3:14" ht="15" customHeight="1">
      <c r="C110" s="3" t="s">
        <v>347</v>
      </c>
      <c r="D110" s="25">
        <v>45950</v>
      </c>
      <c r="E110" s="3" t="s">
        <v>28</v>
      </c>
      <c r="F110" s="3" t="s">
        <v>32</v>
      </c>
      <c r="G110" s="3" t="s">
        <v>15</v>
      </c>
      <c r="H110" s="3" t="s">
        <v>348</v>
      </c>
      <c r="I110" s="3" t="s">
        <v>349</v>
      </c>
      <c r="J110" s="3" t="s">
        <v>35</v>
      </c>
      <c r="K110" s="3">
        <v>518.80999999999995</v>
      </c>
      <c r="L110" s="3">
        <v>6</v>
      </c>
      <c r="M110" s="3">
        <v>137.55000000000001</v>
      </c>
      <c r="N110" s="3">
        <v>0.15</v>
      </c>
    </row>
    <row r="111" spans="3:14" ht="15" customHeight="1">
      <c r="C111" s="3" t="s">
        <v>350</v>
      </c>
      <c r="D111" s="25">
        <v>45729</v>
      </c>
      <c r="E111" s="3" t="s">
        <v>13</v>
      </c>
      <c r="F111" s="3" t="s">
        <v>14</v>
      </c>
      <c r="G111" s="3" t="s">
        <v>15</v>
      </c>
      <c r="H111" s="3" t="s">
        <v>351</v>
      </c>
      <c r="I111" s="3" t="s">
        <v>352</v>
      </c>
      <c r="J111" s="3" t="s">
        <v>35</v>
      </c>
      <c r="K111" s="3">
        <v>1763.25</v>
      </c>
      <c r="L111" s="3">
        <v>7</v>
      </c>
      <c r="M111" s="3">
        <v>560.69000000000005</v>
      </c>
      <c r="N111" s="3">
        <v>0.28999999999999998</v>
      </c>
    </row>
    <row r="112" spans="3:14" ht="15" customHeight="1">
      <c r="C112" s="3" t="s">
        <v>353</v>
      </c>
      <c r="D112" s="25">
        <v>45905</v>
      </c>
      <c r="E112" s="3" t="s">
        <v>41</v>
      </c>
      <c r="F112" s="3" t="s">
        <v>32</v>
      </c>
      <c r="G112" s="3" t="s">
        <v>15</v>
      </c>
      <c r="H112" s="3" t="s">
        <v>354</v>
      </c>
      <c r="I112" s="3" t="s">
        <v>355</v>
      </c>
      <c r="J112" s="3" t="s">
        <v>35</v>
      </c>
      <c r="K112" s="3">
        <v>1424.89</v>
      </c>
      <c r="L112" s="3">
        <v>1</v>
      </c>
      <c r="M112" s="3">
        <v>468.8</v>
      </c>
      <c r="N112" s="3">
        <v>0.25</v>
      </c>
    </row>
    <row r="113" spans="3:14" ht="15" customHeight="1">
      <c r="C113" s="3" t="s">
        <v>356</v>
      </c>
      <c r="D113" s="25">
        <v>45861</v>
      </c>
      <c r="E113" s="3" t="s">
        <v>13</v>
      </c>
      <c r="F113" s="3" t="s">
        <v>32</v>
      </c>
      <c r="G113" s="3" t="s">
        <v>15</v>
      </c>
      <c r="H113" s="3" t="s">
        <v>357</v>
      </c>
      <c r="I113" s="3" t="s">
        <v>358</v>
      </c>
      <c r="J113" s="3" t="s">
        <v>35</v>
      </c>
      <c r="K113" s="3">
        <v>1041.3800000000001</v>
      </c>
      <c r="L113" s="3">
        <v>2</v>
      </c>
      <c r="M113" s="3">
        <v>338.72</v>
      </c>
      <c r="N113" s="3">
        <v>0.14000000000000001</v>
      </c>
    </row>
    <row r="114" spans="3:14" ht="15" customHeight="1">
      <c r="C114" s="3" t="s">
        <v>359</v>
      </c>
      <c r="D114" s="25">
        <v>45833</v>
      </c>
      <c r="E114" s="3" t="s">
        <v>28</v>
      </c>
      <c r="F114" s="3" t="s">
        <v>14</v>
      </c>
      <c r="G114" s="3" t="s">
        <v>15</v>
      </c>
      <c r="H114" s="3" t="s">
        <v>360</v>
      </c>
      <c r="I114" s="3" t="s">
        <v>361</v>
      </c>
      <c r="J114" s="3" t="s">
        <v>35</v>
      </c>
      <c r="K114" s="3">
        <v>1620.77</v>
      </c>
      <c r="L114" s="3">
        <v>1</v>
      </c>
      <c r="M114" s="3">
        <v>542.28</v>
      </c>
      <c r="N114" s="3">
        <v>0.19</v>
      </c>
    </row>
    <row r="115" spans="3:14" ht="15" customHeight="1">
      <c r="C115" s="3" t="s">
        <v>362</v>
      </c>
      <c r="D115" s="25">
        <v>45826</v>
      </c>
      <c r="E115" s="3" t="s">
        <v>13</v>
      </c>
      <c r="F115" s="3" t="s">
        <v>14</v>
      </c>
      <c r="G115" s="3" t="s">
        <v>15</v>
      </c>
      <c r="H115" s="3" t="s">
        <v>363</v>
      </c>
      <c r="I115" s="3" t="s">
        <v>364</v>
      </c>
      <c r="J115" s="3" t="s">
        <v>39</v>
      </c>
      <c r="K115" s="3">
        <v>1098.78</v>
      </c>
      <c r="L115" s="3">
        <v>2</v>
      </c>
      <c r="M115" s="3">
        <v>303.47000000000003</v>
      </c>
      <c r="N115" s="3">
        <v>0.3</v>
      </c>
    </row>
    <row r="116" spans="3:14" ht="15" customHeight="1">
      <c r="C116" s="3" t="s">
        <v>365</v>
      </c>
      <c r="D116" s="25">
        <v>45798</v>
      </c>
      <c r="E116" s="3" t="s">
        <v>41</v>
      </c>
      <c r="F116" s="3" t="s">
        <v>21</v>
      </c>
      <c r="G116" s="3" t="s">
        <v>15</v>
      </c>
      <c r="H116" s="3" t="s">
        <v>366</v>
      </c>
      <c r="I116" s="3" t="s">
        <v>367</v>
      </c>
      <c r="J116" s="3" t="s">
        <v>18</v>
      </c>
      <c r="K116" s="3">
        <v>1445.75</v>
      </c>
      <c r="L116" s="3">
        <v>1</v>
      </c>
      <c r="M116" s="3">
        <v>441.23</v>
      </c>
      <c r="N116" s="3">
        <v>0.19</v>
      </c>
    </row>
    <row r="117" spans="3:14" ht="15" customHeight="1">
      <c r="C117" s="3" t="s">
        <v>368</v>
      </c>
      <c r="D117" s="25">
        <v>45856</v>
      </c>
      <c r="E117" s="3" t="s">
        <v>13</v>
      </c>
      <c r="F117" s="3" t="s">
        <v>32</v>
      </c>
      <c r="G117" s="3" t="s">
        <v>15</v>
      </c>
      <c r="H117" s="3" t="s">
        <v>369</v>
      </c>
      <c r="I117" s="3" t="s">
        <v>370</v>
      </c>
      <c r="J117" s="3" t="s">
        <v>35</v>
      </c>
      <c r="K117" s="3">
        <v>1116.6099999999999</v>
      </c>
      <c r="L117" s="3">
        <v>3</v>
      </c>
      <c r="M117" s="3">
        <v>231.7</v>
      </c>
      <c r="N117" s="3">
        <v>0.22</v>
      </c>
    </row>
    <row r="118" spans="3:14" ht="15" customHeight="1">
      <c r="C118" s="3" t="s">
        <v>371</v>
      </c>
      <c r="D118" s="25">
        <v>45680</v>
      </c>
      <c r="E118" s="3" t="s">
        <v>28</v>
      </c>
      <c r="F118" s="3" t="s">
        <v>32</v>
      </c>
      <c r="G118" s="3" t="s">
        <v>15</v>
      </c>
      <c r="H118" s="3" t="s">
        <v>372</v>
      </c>
      <c r="I118" s="3" t="s">
        <v>373</v>
      </c>
      <c r="J118" s="3" t="s">
        <v>35</v>
      </c>
      <c r="K118" s="3">
        <v>196.35</v>
      </c>
      <c r="L118" s="3">
        <v>3</v>
      </c>
      <c r="M118" s="3">
        <v>71.41</v>
      </c>
      <c r="N118" s="3">
        <v>0.27</v>
      </c>
    </row>
    <row r="119" spans="3:14" ht="15" customHeight="1">
      <c r="C119" s="3" t="s">
        <v>374</v>
      </c>
      <c r="D119" s="25">
        <v>45814</v>
      </c>
      <c r="E119" s="3" t="s">
        <v>13</v>
      </c>
      <c r="F119" s="3" t="s">
        <v>32</v>
      </c>
      <c r="G119" s="3" t="s">
        <v>15</v>
      </c>
      <c r="H119" s="3" t="s">
        <v>375</v>
      </c>
      <c r="I119" s="3" t="s">
        <v>376</v>
      </c>
      <c r="J119" s="3" t="s">
        <v>39</v>
      </c>
      <c r="K119" s="3">
        <v>801.5</v>
      </c>
      <c r="L119" s="3">
        <v>3</v>
      </c>
      <c r="M119" s="3">
        <v>294.83999999999997</v>
      </c>
      <c r="N119" s="3">
        <v>0.05</v>
      </c>
    </row>
    <row r="120" spans="3:14" ht="15" customHeight="1">
      <c r="C120" s="3" t="s">
        <v>377</v>
      </c>
      <c r="D120" s="25">
        <v>45768</v>
      </c>
      <c r="E120" s="3" t="s">
        <v>41</v>
      </c>
      <c r="F120" s="3" t="s">
        <v>14</v>
      </c>
      <c r="G120" s="3" t="s">
        <v>15</v>
      </c>
      <c r="H120" s="3" t="s">
        <v>378</v>
      </c>
      <c r="I120" s="3" t="s">
        <v>379</v>
      </c>
      <c r="J120" s="3" t="s">
        <v>35</v>
      </c>
      <c r="K120" s="3">
        <v>1336.37</v>
      </c>
      <c r="L120" s="3">
        <v>1</v>
      </c>
      <c r="M120" s="3">
        <v>506.43</v>
      </c>
      <c r="N120" s="3">
        <v>0.01</v>
      </c>
    </row>
    <row r="121" spans="3:14" ht="15" customHeight="1">
      <c r="C121" s="3" t="s">
        <v>380</v>
      </c>
      <c r="D121" s="25">
        <v>45851</v>
      </c>
      <c r="E121" s="3" t="s">
        <v>13</v>
      </c>
      <c r="F121" s="3" t="s">
        <v>21</v>
      </c>
      <c r="G121" s="3" t="s">
        <v>15</v>
      </c>
      <c r="H121" s="3" t="s">
        <v>381</v>
      </c>
      <c r="I121" s="3" t="s">
        <v>382</v>
      </c>
      <c r="J121" s="3" t="s">
        <v>18</v>
      </c>
      <c r="K121" s="3">
        <v>930.28</v>
      </c>
      <c r="L121" s="3">
        <v>5</v>
      </c>
      <c r="M121" s="3">
        <v>190.31</v>
      </c>
      <c r="N121" s="3">
        <v>0.17</v>
      </c>
    </row>
    <row r="122" spans="3:14" ht="15" customHeight="1">
      <c r="C122" s="3" t="s">
        <v>383</v>
      </c>
      <c r="D122" s="25">
        <v>45715</v>
      </c>
      <c r="E122" s="3" t="s">
        <v>28</v>
      </c>
      <c r="F122" s="3" t="s">
        <v>32</v>
      </c>
      <c r="G122" s="3" t="s">
        <v>15</v>
      </c>
      <c r="H122" s="3" t="s">
        <v>384</v>
      </c>
      <c r="I122" s="3" t="s">
        <v>385</v>
      </c>
      <c r="J122" s="3" t="s">
        <v>35</v>
      </c>
      <c r="K122" s="3">
        <v>1743.77</v>
      </c>
      <c r="L122" s="3">
        <v>4</v>
      </c>
      <c r="M122" s="3">
        <v>381.81</v>
      </c>
      <c r="N122" s="3">
        <v>0.21</v>
      </c>
    </row>
    <row r="123" spans="3:14" ht="15" customHeight="1">
      <c r="C123" s="3" t="s">
        <v>386</v>
      </c>
      <c r="D123" s="25">
        <v>45968</v>
      </c>
      <c r="E123" s="3" t="s">
        <v>20</v>
      </c>
      <c r="F123" s="3" t="s">
        <v>32</v>
      </c>
      <c r="G123" s="3" t="s">
        <v>15</v>
      </c>
      <c r="H123" s="3" t="s">
        <v>387</v>
      </c>
      <c r="I123" s="3" t="s">
        <v>388</v>
      </c>
      <c r="J123" s="3" t="s">
        <v>18</v>
      </c>
      <c r="K123" s="3">
        <v>281.23</v>
      </c>
      <c r="L123" s="3">
        <v>3</v>
      </c>
      <c r="M123" s="3">
        <v>68.38</v>
      </c>
      <c r="N123" s="3">
        <v>0.06</v>
      </c>
    </row>
    <row r="124" spans="3:14" ht="15" customHeight="1">
      <c r="C124" s="3" t="s">
        <v>389</v>
      </c>
      <c r="D124" s="25">
        <v>45809</v>
      </c>
      <c r="E124" s="3" t="s">
        <v>13</v>
      </c>
      <c r="F124" s="3" t="s">
        <v>14</v>
      </c>
      <c r="G124" s="3" t="s">
        <v>15</v>
      </c>
      <c r="H124" s="3" t="s">
        <v>390</v>
      </c>
      <c r="I124" s="3" t="s">
        <v>391</v>
      </c>
      <c r="J124" s="3" t="s">
        <v>18</v>
      </c>
      <c r="K124" s="3">
        <v>1903.38</v>
      </c>
      <c r="L124" s="3">
        <v>1</v>
      </c>
      <c r="M124" s="3">
        <v>139.03</v>
      </c>
      <c r="N124" s="3">
        <v>0.14000000000000001</v>
      </c>
    </row>
    <row r="125" spans="3:14" ht="15" customHeight="1">
      <c r="C125" s="3" t="s">
        <v>392</v>
      </c>
      <c r="D125" s="25">
        <v>45912</v>
      </c>
      <c r="E125" s="3" t="s">
        <v>28</v>
      </c>
      <c r="F125" s="3" t="s">
        <v>32</v>
      </c>
      <c r="G125" s="3" t="s">
        <v>15</v>
      </c>
      <c r="H125" s="3" t="s">
        <v>393</v>
      </c>
      <c r="I125" s="3" t="s">
        <v>394</v>
      </c>
      <c r="J125" s="3" t="s">
        <v>35</v>
      </c>
      <c r="K125" s="3">
        <v>1636.6</v>
      </c>
      <c r="L125" s="3">
        <v>6</v>
      </c>
      <c r="M125" s="3">
        <v>292.58999999999997</v>
      </c>
      <c r="N125" s="3">
        <v>0.01</v>
      </c>
    </row>
    <row r="126" spans="3:14" ht="15" customHeight="1">
      <c r="C126" s="3" t="s">
        <v>395</v>
      </c>
      <c r="D126" s="25">
        <v>45821</v>
      </c>
      <c r="E126" s="3" t="s">
        <v>13</v>
      </c>
      <c r="F126" s="3" t="s">
        <v>14</v>
      </c>
      <c r="G126" s="3" t="s">
        <v>15</v>
      </c>
      <c r="H126" s="3" t="s">
        <v>396</v>
      </c>
      <c r="I126" s="3" t="s">
        <v>397</v>
      </c>
      <c r="J126" s="3" t="s">
        <v>39</v>
      </c>
      <c r="K126" s="3">
        <v>1076.49</v>
      </c>
      <c r="L126" s="3">
        <v>3</v>
      </c>
      <c r="M126" s="3">
        <v>93.19</v>
      </c>
      <c r="N126" s="3">
        <v>0.09</v>
      </c>
    </row>
    <row r="127" spans="3:14" ht="15" customHeight="1">
      <c r="C127" s="3" t="s">
        <v>398</v>
      </c>
      <c r="D127" s="25">
        <v>45979</v>
      </c>
      <c r="E127" s="3" t="s">
        <v>41</v>
      </c>
      <c r="F127" s="3" t="s">
        <v>14</v>
      </c>
      <c r="G127" s="3" t="s">
        <v>15</v>
      </c>
      <c r="H127" s="3" t="s">
        <v>399</v>
      </c>
      <c r="I127" s="3" t="s">
        <v>400</v>
      </c>
      <c r="J127" s="3" t="s">
        <v>39</v>
      </c>
      <c r="K127" s="3">
        <v>1975.53</v>
      </c>
      <c r="L127" s="3">
        <v>8</v>
      </c>
      <c r="M127" s="3">
        <v>376.33</v>
      </c>
      <c r="N127" s="3">
        <v>0.21</v>
      </c>
    </row>
    <row r="128" spans="3:14" ht="15" customHeight="1">
      <c r="C128" s="3" t="s">
        <v>401</v>
      </c>
      <c r="D128" s="25">
        <v>46017</v>
      </c>
      <c r="E128" s="3" t="s">
        <v>20</v>
      </c>
      <c r="F128" s="3" t="s">
        <v>21</v>
      </c>
      <c r="G128" s="3" t="s">
        <v>15</v>
      </c>
      <c r="H128" s="3" t="s">
        <v>402</v>
      </c>
      <c r="I128" s="3" t="s">
        <v>403</v>
      </c>
      <c r="J128" s="3" t="s">
        <v>18</v>
      </c>
      <c r="K128" s="3">
        <v>526.32000000000005</v>
      </c>
      <c r="L128" s="3">
        <v>2</v>
      </c>
      <c r="M128" s="3">
        <v>108.83</v>
      </c>
      <c r="N128" s="3">
        <v>0.25</v>
      </c>
    </row>
    <row r="129" spans="3:14" ht="15" customHeight="1">
      <c r="C129" s="3" t="s">
        <v>404</v>
      </c>
      <c r="D129" s="25">
        <v>45964</v>
      </c>
      <c r="E129" s="3" t="s">
        <v>41</v>
      </c>
      <c r="F129" s="3" t="s">
        <v>14</v>
      </c>
      <c r="G129" s="3" t="s">
        <v>15</v>
      </c>
      <c r="H129" s="3" t="s">
        <v>405</v>
      </c>
      <c r="I129" s="3" t="s">
        <v>406</v>
      </c>
      <c r="J129" s="3" t="s">
        <v>18</v>
      </c>
      <c r="K129" s="3">
        <v>1410.53</v>
      </c>
      <c r="L129" s="3">
        <v>2</v>
      </c>
      <c r="M129" s="3">
        <v>312.77</v>
      </c>
      <c r="N129" s="3">
        <v>0.27</v>
      </c>
    </row>
    <row r="130" spans="3:14" ht="15" customHeight="1">
      <c r="C130" s="3" t="s">
        <v>407</v>
      </c>
      <c r="D130" s="25">
        <v>45756</v>
      </c>
      <c r="E130" s="3" t="s">
        <v>20</v>
      </c>
      <c r="F130" s="3" t="s">
        <v>21</v>
      </c>
      <c r="G130" s="3" t="s">
        <v>15</v>
      </c>
      <c r="H130" s="3" t="s">
        <v>408</v>
      </c>
      <c r="I130" s="3" t="s">
        <v>409</v>
      </c>
      <c r="J130" s="3" t="s">
        <v>18</v>
      </c>
      <c r="K130" s="3">
        <v>984.45</v>
      </c>
      <c r="L130" s="3">
        <v>9</v>
      </c>
      <c r="M130" s="3">
        <v>115.21</v>
      </c>
      <c r="N130" s="3">
        <v>0.02</v>
      </c>
    </row>
    <row r="131" spans="3:14" ht="15" customHeight="1">
      <c r="C131" s="3" t="s">
        <v>410</v>
      </c>
      <c r="D131" s="25">
        <v>45702</v>
      </c>
      <c r="E131" s="3" t="s">
        <v>20</v>
      </c>
      <c r="F131" s="3" t="s">
        <v>32</v>
      </c>
      <c r="G131" s="3" t="s">
        <v>15</v>
      </c>
      <c r="H131" s="3" t="s">
        <v>411</v>
      </c>
      <c r="I131" s="3" t="s">
        <v>412</v>
      </c>
      <c r="J131" s="3" t="s">
        <v>18</v>
      </c>
      <c r="K131" s="3">
        <v>1626.13</v>
      </c>
      <c r="L131" s="3">
        <v>8</v>
      </c>
      <c r="M131" s="3">
        <v>288.89</v>
      </c>
      <c r="N131" s="3">
        <v>0.14000000000000001</v>
      </c>
    </row>
    <row r="132" spans="3:14" ht="15" customHeight="1">
      <c r="C132" s="3" t="s">
        <v>413</v>
      </c>
      <c r="D132" s="25">
        <v>45952</v>
      </c>
      <c r="E132" s="3" t="s">
        <v>41</v>
      </c>
      <c r="F132" s="3" t="s">
        <v>21</v>
      </c>
      <c r="G132" s="3" t="s">
        <v>15</v>
      </c>
      <c r="H132" s="3" t="s">
        <v>414</v>
      </c>
      <c r="I132" s="3" t="s">
        <v>415</v>
      </c>
      <c r="J132" s="3" t="s">
        <v>39</v>
      </c>
      <c r="K132" s="3">
        <v>1396.79</v>
      </c>
      <c r="L132" s="3">
        <v>2</v>
      </c>
      <c r="M132" s="3">
        <v>486.37</v>
      </c>
      <c r="N132" s="3">
        <v>0.01</v>
      </c>
    </row>
    <row r="133" spans="3:14" ht="15" customHeight="1">
      <c r="C133" s="3" t="s">
        <v>416</v>
      </c>
      <c r="D133" s="25">
        <v>45718</v>
      </c>
      <c r="E133" s="3" t="s">
        <v>13</v>
      </c>
      <c r="F133" s="3" t="s">
        <v>14</v>
      </c>
      <c r="G133" s="3" t="s">
        <v>15</v>
      </c>
      <c r="H133" s="3" t="s">
        <v>417</v>
      </c>
      <c r="I133" s="3" t="s">
        <v>418</v>
      </c>
      <c r="J133" s="3" t="s">
        <v>35</v>
      </c>
      <c r="K133" s="3">
        <v>1640.42</v>
      </c>
      <c r="L133" s="3">
        <v>8</v>
      </c>
      <c r="M133" s="3">
        <v>132.34</v>
      </c>
      <c r="N133" s="3">
        <v>0.12</v>
      </c>
    </row>
    <row r="134" spans="3:14" ht="15" customHeight="1">
      <c r="C134" s="3" t="s">
        <v>419</v>
      </c>
      <c r="D134" s="25">
        <v>45703</v>
      </c>
      <c r="E134" s="3" t="s">
        <v>20</v>
      </c>
      <c r="F134" s="3" t="s">
        <v>14</v>
      </c>
      <c r="G134" s="3" t="s">
        <v>15</v>
      </c>
      <c r="H134" s="3" t="s">
        <v>420</v>
      </c>
      <c r="I134" s="3" t="s">
        <v>421</v>
      </c>
      <c r="J134" s="3" t="s">
        <v>35</v>
      </c>
      <c r="K134" s="3">
        <v>1565.77</v>
      </c>
      <c r="L134" s="3">
        <v>5</v>
      </c>
      <c r="M134" s="3">
        <v>236.78</v>
      </c>
      <c r="N134" s="3">
        <v>0.3</v>
      </c>
    </row>
    <row r="135" spans="3:14" ht="15" customHeight="1">
      <c r="C135" s="3" t="s">
        <v>422</v>
      </c>
      <c r="D135" s="25">
        <v>45796</v>
      </c>
      <c r="E135" s="3" t="s">
        <v>13</v>
      </c>
      <c r="F135" s="3" t="s">
        <v>21</v>
      </c>
      <c r="G135" s="3" t="s">
        <v>15</v>
      </c>
      <c r="H135" s="3" t="s">
        <v>423</v>
      </c>
      <c r="I135" s="3" t="s">
        <v>424</v>
      </c>
      <c r="J135" s="3" t="s">
        <v>39</v>
      </c>
      <c r="K135" s="3">
        <v>1214.97</v>
      </c>
      <c r="L135" s="3">
        <v>7</v>
      </c>
      <c r="M135" s="3">
        <v>89.26</v>
      </c>
      <c r="N135" s="3">
        <v>0.17</v>
      </c>
    </row>
    <row r="136" spans="3:14" ht="15" customHeight="1">
      <c r="C136" s="3" t="s">
        <v>425</v>
      </c>
      <c r="D136" s="25">
        <v>45927</v>
      </c>
      <c r="E136" s="3" t="s">
        <v>28</v>
      </c>
      <c r="F136" s="3" t="s">
        <v>32</v>
      </c>
      <c r="G136" s="3" t="s">
        <v>15</v>
      </c>
      <c r="H136" s="3" t="s">
        <v>426</v>
      </c>
      <c r="I136" s="3" t="s">
        <v>427</v>
      </c>
      <c r="J136" s="3" t="s">
        <v>18</v>
      </c>
      <c r="K136" s="3">
        <v>358.7</v>
      </c>
      <c r="L136" s="3">
        <v>6</v>
      </c>
      <c r="M136" s="3">
        <v>95.35</v>
      </c>
      <c r="N136" s="3">
        <v>0.22</v>
      </c>
    </row>
    <row r="137" spans="3:14" ht="15" customHeight="1">
      <c r="C137" s="3" t="s">
        <v>428</v>
      </c>
      <c r="D137" s="25">
        <v>45724</v>
      </c>
      <c r="E137" s="3" t="s">
        <v>28</v>
      </c>
      <c r="F137" s="3" t="s">
        <v>14</v>
      </c>
      <c r="G137" s="3" t="s">
        <v>15</v>
      </c>
      <c r="H137" s="3" t="s">
        <v>429</v>
      </c>
      <c r="I137" s="3" t="s">
        <v>430</v>
      </c>
      <c r="J137" s="3" t="s">
        <v>18</v>
      </c>
      <c r="K137" s="3">
        <v>1061.21</v>
      </c>
      <c r="L137" s="3">
        <v>9</v>
      </c>
      <c r="M137" s="3">
        <v>144.66999999999999</v>
      </c>
      <c r="N137" s="3">
        <v>0.27</v>
      </c>
    </row>
    <row r="138" spans="3:14" ht="15" customHeight="1">
      <c r="C138" s="3" t="s">
        <v>431</v>
      </c>
      <c r="D138" s="25">
        <v>45940</v>
      </c>
      <c r="E138" s="3" t="s">
        <v>41</v>
      </c>
      <c r="F138" s="3" t="s">
        <v>14</v>
      </c>
      <c r="G138" s="3" t="s">
        <v>15</v>
      </c>
      <c r="H138" s="3" t="s">
        <v>432</v>
      </c>
      <c r="I138" s="3" t="s">
        <v>433</v>
      </c>
      <c r="J138" s="3" t="s">
        <v>18</v>
      </c>
      <c r="K138" s="3">
        <v>1802.81</v>
      </c>
      <c r="L138" s="3">
        <v>8</v>
      </c>
      <c r="M138" s="3">
        <v>147.41999999999999</v>
      </c>
      <c r="N138" s="3">
        <v>0.14000000000000001</v>
      </c>
    </row>
    <row r="139" spans="3:14" ht="15" customHeight="1">
      <c r="C139" s="3" t="s">
        <v>434</v>
      </c>
      <c r="D139" s="25">
        <v>45697</v>
      </c>
      <c r="E139" s="3" t="s">
        <v>20</v>
      </c>
      <c r="F139" s="3" t="s">
        <v>32</v>
      </c>
      <c r="G139" s="3" t="s">
        <v>15</v>
      </c>
      <c r="H139" s="3" t="s">
        <v>435</v>
      </c>
      <c r="I139" s="3" t="s">
        <v>436</v>
      </c>
      <c r="J139" s="3" t="s">
        <v>35</v>
      </c>
      <c r="K139" s="3">
        <v>698.18</v>
      </c>
      <c r="L139" s="3">
        <v>4</v>
      </c>
      <c r="M139" s="3">
        <v>37.46</v>
      </c>
      <c r="N139" s="3">
        <v>0.01</v>
      </c>
    </row>
    <row r="140" spans="3:14" ht="15" customHeight="1">
      <c r="C140" s="3" t="s">
        <v>437</v>
      </c>
      <c r="D140" s="25">
        <v>46000</v>
      </c>
      <c r="E140" s="3" t="s">
        <v>20</v>
      </c>
      <c r="F140" s="3" t="s">
        <v>21</v>
      </c>
      <c r="G140" s="3" t="s">
        <v>15</v>
      </c>
      <c r="H140" s="3" t="s">
        <v>438</v>
      </c>
      <c r="I140" s="3" t="s">
        <v>439</v>
      </c>
      <c r="J140" s="3" t="s">
        <v>18</v>
      </c>
      <c r="K140" s="3">
        <v>1296.6500000000001</v>
      </c>
      <c r="L140" s="3">
        <v>5</v>
      </c>
      <c r="M140" s="3">
        <v>366.11</v>
      </c>
      <c r="N140" s="3">
        <v>0.18</v>
      </c>
    </row>
    <row r="141" spans="3:14" ht="15" customHeight="1">
      <c r="C141" s="3" t="s">
        <v>440</v>
      </c>
      <c r="D141" s="25">
        <v>45863</v>
      </c>
      <c r="E141" s="3" t="s">
        <v>28</v>
      </c>
      <c r="F141" s="3" t="s">
        <v>14</v>
      </c>
      <c r="G141" s="3" t="s">
        <v>15</v>
      </c>
      <c r="H141" s="3" t="s">
        <v>441</v>
      </c>
      <c r="I141" s="3" t="s">
        <v>442</v>
      </c>
      <c r="J141" s="3" t="s">
        <v>18</v>
      </c>
      <c r="K141" s="3">
        <v>217.83</v>
      </c>
      <c r="L141" s="3">
        <v>2</v>
      </c>
      <c r="M141" s="3">
        <v>31.22</v>
      </c>
      <c r="N141" s="3">
        <v>0.16</v>
      </c>
    </row>
    <row r="142" spans="3:14" ht="15" customHeight="1">
      <c r="C142" s="3" t="s">
        <v>443</v>
      </c>
      <c r="D142" s="25">
        <v>45668</v>
      </c>
      <c r="E142" s="3" t="s">
        <v>28</v>
      </c>
      <c r="F142" s="3" t="s">
        <v>21</v>
      </c>
      <c r="G142" s="3" t="s">
        <v>15</v>
      </c>
      <c r="H142" s="3" t="s">
        <v>444</v>
      </c>
      <c r="I142" s="3" t="s">
        <v>445</v>
      </c>
      <c r="J142" s="3" t="s">
        <v>18</v>
      </c>
      <c r="K142" s="3">
        <v>1549.29</v>
      </c>
      <c r="L142" s="3">
        <v>4</v>
      </c>
      <c r="M142" s="3">
        <v>380.37</v>
      </c>
      <c r="N142" s="3">
        <v>0.08</v>
      </c>
    </row>
    <row r="143" spans="3:14" ht="15" customHeight="1">
      <c r="C143" s="3" t="s">
        <v>446</v>
      </c>
      <c r="D143" s="25">
        <v>45710</v>
      </c>
      <c r="E143" s="3" t="s">
        <v>28</v>
      </c>
      <c r="F143" s="3" t="s">
        <v>21</v>
      </c>
      <c r="G143" s="3" t="s">
        <v>15</v>
      </c>
      <c r="H143" s="3" t="s">
        <v>447</v>
      </c>
      <c r="I143" s="3" t="s">
        <v>448</v>
      </c>
      <c r="J143" s="3" t="s">
        <v>35</v>
      </c>
      <c r="K143" s="3">
        <v>1545.09</v>
      </c>
      <c r="L143" s="3">
        <v>5</v>
      </c>
      <c r="M143" s="3">
        <v>162.62</v>
      </c>
      <c r="N143" s="3">
        <v>0.28999999999999998</v>
      </c>
    </row>
    <row r="144" spans="3:14" ht="15" customHeight="1">
      <c r="C144" s="3" t="s">
        <v>449</v>
      </c>
      <c r="D144" s="25">
        <v>45671</v>
      </c>
      <c r="E144" s="3" t="s">
        <v>13</v>
      </c>
      <c r="F144" s="3" t="s">
        <v>14</v>
      </c>
      <c r="G144" s="3" t="s">
        <v>15</v>
      </c>
      <c r="H144" s="3" t="s">
        <v>450</v>
      </c>
      <c r="I144" s="3" t="s">
        <v>451</v>
      </c>
      <c r="J144" s="3" t="s">
        <v>39</v>
      </c>
      <c r="K144" s="3">
        <v>525.23</v>
      </c>
      <c r="L144" s="3">
        <v>8</v>
      </c>
      <c r="M144" s="3">
        <v>114.32</v>
      </c>
      <c r="N144" s="3">
        <v>0.2</v>
      </c>
    </row>
    <row r="145" spans="3:14" ht="15" customHeight="1">
      <c r="C145" s="3" t="s">
        <v>452</v>
      </c>
      <c r="D145" s="25">
        <v>45784</v>
      </c>
      <c r="E145" s="3" t="s">
        <v>13</v>
      </c>
      <c r="F145" s="3" t="s">
        <v>21</v>
      </c>
      <c r="G145" s="3" t="s">
        <v>15</v>
      </c>
      <c r="H145" s="3" t="s">
        <v>453</v>
      </c>
      <c r="I145" s="3" t="s">
        <v>454</v>
      </c>
      <c r="J145" s="3" t="s">
        <v>18</v>
      </c>
      <c r="K145" s="3">
        <v>1506.95</v>
      </c>
      <c r="L145" s="3">
        <v>4</v>
      </c>
      <c r="M145" s="3">
        <v>382.62</v>
      </c>
      <c r="N145" s="3">
        <v>0.06</v>
      </c>
    </row>
    <row r="146" spans="3:14" ht="15" customHeight="1">
      <c r="C146" s="3" t="s">
        <v>455</v>
      </c>
      <c r="D146" s="25">
        <v>45774</v>
      </c>
      <c r="E146" s="3" t="s">
        <v>13</v>
      </c>
      <c r="F146" s="3" t="s">
        <v>32</v>
      </c>
      <c r="G146" s="3" t="s">
        <v>15</v>
      </c>
      <c r="H146" s="3" t="s">
        <v>456</v>
      </c>
      <c r="I146" s="3" t="s">
        <v>457</v>
      </c>
      <c r="J146" s="3" t="s">
        <v>35</v>
      </c>
      <c r="K146" s="3">
        <v>484.68</v>
      </c>
      <c r="L146" s="3">
        <v>8</v>
      </c>
      <c r="M146" s="3">
        <v>113.17</v>
      </c>
      <c r="N146" s="3">
        <v>0.22</v>
      </c>
    </row>
    <row r="147" spans="3:14" ht="15" customHeight="1">
      <c r="C147" s="3" t="s">
        <v>458</v>
      </c>
      <c r="D147" s="25">
        <v>45737</v>
      </c>
      <c r="E147" s="3" t="s">
        <v>20</v>
      </c>
      <c r="F147" s="3" t="s">
        <v>32</v>
      </c>
      <c r="G147" s="3" t="s">
        <v>15</v>
      </c>
      <c r="H147" s="3" t="s">
        <v>459</v>
      </c>
      <c r="I147" s="3" t="s">
        <v>460</v>
      </c>
      <c r="J147" s="3" t="s">
        <v>39</v>
      </c>
      <c r="K147" s="3">
        <v>1370</v>
      </c>
      <c r="L147" s="3">
        <v>7</v>
      </c>
      <c r="M147" s="3">
        <v>498.57</v>
      </c>
      <c r="N147" s="3">
        <v>0.05</v>
      </c>
    </row>
    <row r="148" spans="3:14" ht="15" customHeight="1">
      <c r="C148" s="3" t="s">
        <v>461</v>
      </c>
      <c r="D148" s="25">
        <v>45889</v>
      </c>
      <c r="E148" s="3" t="s">
        <v>28</v>
      </c>
      <c r="F148" s="3" t="s">
        <v>21</v>
      </c>
      <c r="G148" s="3" t="s">
        <v>15</v>
      </c>
      <c r="H148" s="3" t="s">
        <v>462</v>
      </c>
      <c r="I148" s="3" t="s">
        <v>463</v>
      </c>
      <c r="J148" s="3" t="s">
        <v>39</v>
      </c>
      <c r="K148" s="3">
        <v>1420.96</v>
      </c>
      <c r="L148" s="3">
        <v>4</v>
      </c>
      <c r="M148" s="3">
        <v>181.37</v>
      </c>
      <c r="N148" s="3">
        <v>0.02</v>
      </c>
    </row>
    <row r="149" spans="3:14" ht="15" customHeight="1">
      <c r="C149" s="3" t="s">
        <v>464</v>
      </c>
      <c r="D149" s="25">
        <v>45890</v>
      </c>
      <c r="E149" s="3" t="s">
        <v>28</v>
      </c>
      <c r="F149" s="3" t="s">
        <v>14</v>
      </c>
      <c r="G149" s="3" t="s">
        <v>15</v>
      </c>
      <c r="H149" s="3" t="s">
        <v>465</v>
      </c>
      <c r="I149" s="3" t="s">
        <v>466</v>
      </c>
      <c r="J149" s="3" t="s">
        <v>18</v>
      </c>
      <c r="K149" s="3">
        <v>409.38</v>
      </c>
      <c r="L149" s="3">
        <v>3</v>
      </c>
      <c r="M149" s="3">
        <v>133.85</v>
      </c>
      <c r="N149" s="3">
        <v>0.2</v>
      </c>
    </row>
    <row r="150" spans="3:14" ht="15" customHeight="1">
      <c r="C150" s="3" t="s">
        <v>467</v>
      </c>
      <c r="D150" s="25">
        <v>45774</v>
      </c>
      <c r="E150" s="3" t="s">
        <v>28</v>
      </c>
      <c r="F150" s="3" t="s">
        <v>14</v>
      </c>
      <c r="G150" s="3" t="s">
        <v>15</v>
      </c>
      <c r="H150" s="3" t="s">
        <v>468</v>
      </c>
      <c r="I150" s="3" t="s">
        <v>469</v>
      </c>
      <c r="J150" s="3" t="s">
        <v>35</v>
      </c>
      <c r="K150" s="3">
        <v>236.34</v>
      </c>
      <c r="L150" s="3">
        <v>9</v>
      </c>
      <c r="M150" s="3">
        <v>82.17</v>
      </c>
      <c r="N150" s="3">
        <v>0.23</v>
      </c>
    </row>
    <row r="151" spans="3:14" ht="15" customHeight="1">
      <c r="C151" s="3" t="s">
        <v>470</v>
      </c>
      <c r="D151" s="25">
        <v>45717</v>
      </c>
      <c r="E151" s="3" t="s">
        <v>28</v>
      </c>
      <c r="F151" s="3" t="s">
        <v>14</v>
      </c>
      <c r="G151" s="3" t="s">
        <v>15</v>
      </c>
      <c r="H151" s="3" t="s">
        <v>471</v>
      </c>
      <c r="I151" s="3" t="s">
        <v>472</v>
      </c>
      <c r="J151" s="3" t="s">
        <v>35</v>
      </c>
      <c r="K151" s="3">
        <v>720.75</v>
      </c>
      <c r="L151" s="3">
        <v>7</v>
      </c>
      <c r="M151" s="3">
        <v>67.44</v>
      </c>
      <c r="N151" s="3">
        <v>0.27</v>
      </c>
    </row>
    <row r="152" spans="3:14" ht="15" customHeight="1">
      <c r="C152" s="3" t="s">
        <v>473</v>
      </c>
      <c r="D152" s="25">
        <v>45965</v>
      </c>
      <c r="E152" s="3" t="s">
        <v>20</v>
      </c>
      <c r="F152" s="3" t="s">
        <v>21</v>
      </c>
      <c r="G152" s="3" t="s">
        <v>15</v>
      </c>
      <c r="H152" s="3" t="s">
        <v>474</v>
      </c>
      <c r="I152" s="3" t="s">
        <v>475</v>
      </c>
      <c r="J152" s="3" t="s">
        <v>39</v>
      </c>
      <c r="K152" s="3">
        <v>1612.1</v>
      </c>
      <c r="L152" s="3">
        <v>6</v>
      </c>
      <c r="M152" s="3">
        <v>520.71</v>
      </c>
      <c r="N152" s="3">
        <v>0.27</v>
      </c>
    </row>
    <row r="153" spans="3:14" ht="15" customHeight="1">
      <c r="C153" s="3" t="s">
        <v>476</v>
      </c>
      <c r="D153" s="25">
        <v>45675</v>
      </c>
      <c r="E153" s="3" t="s">
        <v>28</v>
      </c>
      <c r="F153" s="3" t="s">
        <v>14</v>
      </c>
      <c r="G153" s="3" t="s">
        <v>15</v>
      </c>
      <c r="H153" s="3" t="s">
        <v>477</v>
      </c>
      <c r="I153" s="3" t="s">
        <v>478</v>
      </c>
      <c r="J153" s="3" t="s">
        <v>39</v>
      </c>
      <c r="K153" s="3">
        <v>1973.56</v>
      </c>
      <c r="L153" s="3">
        <v>9</v>
      </c>
      <c r="M153" s="3">
        <v>622.36</v>
      </c>
      <c r="N153" s="3">
        <v>7.0000000000000007E-2</v>
      </c>
    </row>
    <row r="154" spans="3:14" ht="15" customHeight="1">
      <c r="C154" s="3" t="s">
        <v>479</v>
      </c>
      <c r="D154" s="25">
        <v>45834</v>
      </c>
      <c r="E154" s="3" t="s">
        <v>20</v>
      </c>
      <c r="F154" s="3" t="s">
        <v>32</v>
      </c>
      <c r="G154" s="3" t="s">
        <v>15</v>
      </c>
      <c r="H154" s="3" t="s">
        <v>480</v>
      </c>
      <c r="I154" s="3" t="s">
        <v>481</v>
      </c>
      <c r="J154" s="3" t="s">
        <v>18</v>
      </c>
      <c r="K154" s="3">
        <v>1748.34</v>
      </c>
      <c r="L154" s="3">
        <v>8</v>
      </c>
      <c r="M154" s="3">
        <v>612.09</v>
      </c>
      <c r="N154" s="3">
        <v>0.15</v>
      </c>
    </row>
    <row r="155" spans="3:14" ht="15" customHeight="1">
      <c r="C155" s="3" t="s">
        <v>482</v>
      </c>
      <c r="D155" s="25">
        <v>45749</v>
      </c>
      <c r="E155" s="3" t="s">
        <v>28</v>
      </c>
      <c r="F155" s="3" t="s">
        <v>21</v>
      </c>
      <c r="G155" s="3" t="s">
        <v>15</v>
      </c>
      <c r="H155" s="3" t="s">
        <v>483</v>
      </c>
      <c r="I155" s="3" t="s">
        <v>484</v>
      </c>
      <c r="J155" s="3" t="s">
        <v>35</v>
      </c>
      <c r="K155" s="3">
        <v>196.91</v>
      </c>
      <c r="L155" s="3">
        <v>6</v>
      </c>
      <c r="M155" s="3">
        <v>71.84</v>
      </c>
      <c r="N155" s="3">
        <v>0.01</v>
      </c>
    </row>
    <row r="156" spans="3:14" ht="15" customHeight="1">
      <c r="C156" s="3" t="s">
        <v>485</v>
      </c>
      <c r="D156" s="25">
        <v>45713</v>
      </c>
      <c r="E156" s="3" t="s">
        <v>41</v>
      </c>
      <c r="F156" s="3" t="s">
        <v>32</v>
      </c>
      <c r="G156" s="3" t="s">
        <v>15</v>
      </c>
      <c r="H156" s="3" t="s">
        <v>486</v>
      </c>
      <c r="I156" s="3" t="s">
        <v>487</v>
      </c>
      <c r="J156" s="3" t="s">
        <v>18</v>
      </c>
      <c r="K156" s="3">
        <v>477.01</v>
      </c>
      <c r="L156" s="3">
        <v>10</v>
      </c>
      <c r="M156" s="3">
        <v>46.89</v>
      </c>
      <c r="N156" s="3">
        <v>0.11</v>
      </c>
    </row>
    <row r="157" spans="3:14" ht="15" customHeight="1">
      <c r="C157" s="3" t="s">
        <v>488</v>
      </c>
      <c r="D157" s="25">
        <v>45862</v>
      </c>
      <c r="E157" s="3" t="s">
        <v>13</v>
      </c>
      <c r="F157" s="3" t="s">
        <v>21</v>
      </c>
      <c r="G157" s="3" t="s">
        <v>15</v>
      </c>
      <c r="H157" s="3" t="s">
        <v>489</v>
      </c>
      <c r="I157" s="3" t="s">
        <v>490</v>
      </c>
      <c r="J157" s="3" t="s">
        <v>18</v>
      </c>
      <c r="K157" s="3">
        <v>1607.01</v>
      </c>
      <c r="L157" s="3">
        <v>8</v>
      </c>
      <c r="M157" s="3">
        <v>427.48</v>
      </c>
      <c r="N157" s="3">
        <v>0.13</v>
      </c>
    </row>
    <row r="158" spans="3:14" ht="15" customHeight="1">
      <c r="C158" s="3" t="s">
        <v>491</v>
      </c>
      <c r="D158" s="25">
        <v>45669</v>
      </c>
      <c r="E158" s="3" t="s">
        <v>41</v>
      </c>
      <c r="F158" s="3" t="s">
        <v>21</v>
      </c>
      <c r="G158" s="3" t="s">
        <v>15</v>
      </c>
      <c r="H158" s="3" t="s">
        <v>492</v>
      </c>
      <c r="I158" s="3" t="s">
        <v>493</v>
      </c>
      <c r="J158" s="3" t="s">
        <v>18</v>
      </c>
      <c r="K158" s="3">
        <v>1239.6500000000001</v>
      </c>
      <c r="L158" s="3">
        <v>4</v>
      </c>
      <c r="M158" s="3">
        <v>133.94</v>
      </c>
      <c r="N158" s="3">
        <v>0.09</v>
      </c>
    </row>
    <row r="159" spans="3:14" ht="15" customHeight="1">
      <c r="C159" s="3" t="s">
        <v>494</v>
      </c>
      <c r="D159" s="25">
        <v>45894</v>
      </c>
      <c r="E159" s="3" t="s">
        <v>41</v>
      </c>
      <c r="F159" s="3" t="s">
        <v>14</v>
      </c>
      <c r="G159" s="3" t="s">
        <v>15</v>
      </c>
      <c r="H159" s="3" t="s">
        <v>495</v>
      </c>
      <c r="I159" s="3" t="s">
        <v>496</v>
      </c>
      <c r="J159" s="3" t="s">
        <v>18</v>
      </c>
      <c r="K159" s="3">
        <v>772.76</v>
      </c>
      <c r="L159" s="3">
        <v>8</v>
      </c>
      <c r="M159" s="3">
        <v>281.89</v>
      </c>
      <c r="N159" s="3">
        <v>0.26</v>
      </c>
    </row>
    <row r="160" spans="3:14" ht="15" customHeight="1">
      <c r="C160" s="3" t="s">
        <v>497</v>
      </c>
      <c r="D160" s="25">
        <v>45744</v>
      </c>
      <c r="E160" s="3" t="s">
        <v>20</v>
      </c>
      <c r="F160" s="3" t="s">
        <v>21</v>
      </c>
      <c r="G160" s="3" t="s">
        <v>15</v>
      </c>
      <c r="H160" s="3" t="s">
        <v>498</v>
      </c>
      <c r="I160" s="3" t="s">
        <v>499</v>
      </c>
      <c r="J160" s="3" t="s">
        <v>39</v>
      </c>
      <c r="K160" s="3">
        <v>706.83</v>
      </c>
      <c r="L160" s="3">
        <v>5</v>
      </c>
      <c r="M160" s="3">
        <v>65.959999999999994</v>
      </c>
      <c r="N160" s="3">
        <v>0.04</v>
      </c>
    </row>
    <row r="161" spans="3:14" ht="15" customHeight="1">
      <c r="C161" s="3" t="s">
        <v>500</v>
      </c>
      <c r="D161" s="25">
        <v>45742</v>
      </c>
      <c r="E161" s="3" t="s">
        <v>13</v>
      </c>
      <c r="F161" s="3" t="s">
        <v>21</v>
      </c>
      <c r="G161" s="3" t="s">
        <v>15</v>
      </c>
      <c r="H161" s="3" t="s">
        <v>501</v>
      </c>
      <c r="I161" s="3" t="s">
        <v>502</v>
      </c>
      <c r="J161" s="3" t="s">
        <v>35</v>
      </c>
      <c r="K161" s="3">
        <v>1361.45</v>
      </c>
      <c r="L161" s="3">
        <v>8</v>
      </c>
      <c r="M161" s="3">
        <v>107.07</v>
      </c>
      <c r="N161" s="3">
        <v>0.1</v>
      </c>
    </row>
    <row r="162" spans="3:14" ht="15" customHeight="1">
      <c r="C162" s="3" t="s">
        <v>503</v>
      </c>
      <c r="D162" s="25">
        <v>45749</v>
      </c>
      <c r="E162" s="3" t="s">
        <v>28</v>
      </c>
      <c r="F162" s="3" t="s">
        <v>32</v>
      </c>
      <c r="G162" s="3" t="s">
        <v>15</v>
      </c>
      <c r="H162" s="3" t="s">
        <v>504</v>
      </c>
      <c r="I162" s="3" t="s">
        <v>505</v>
      </c>
      <c r="J162" s="3" t="s">
        <v>18</v>
      </c>
      <c r="K162" s="3">
        <v>1667.01</v>
      </c>
      <c r="L162" s="3">
        <v>1</v>
      </c>
      <c r="M162" s="3">
        <v>481.7</v>
      </c>
      <c r="N162" s="3">
        <v>0.19</v>
      </c>
    </row>
    <row r="163" spans="3:14" ht="15" customHeight="1">
      <c r="C163" s="3" t="s">
        <v>506</v>
      </c>
      <c r="D163" s="25">
        <v>45953</v>
      </c>
      <c r="E163" s="3" t="s">
        <v>13</v>
      </c>
      <c r="F163" s="3" t="s">
        <v>32</v>
      </c>
      <c r="G163" s="3" t="s">
        <v>15</v>
      </c>
      <c r="H163" s="3" t="s">
        <v>507</v>
      </c>
      <c r="I163" s="3" t="s">
        <v>508</v>
      </c>
      <c r="J163" s="3" t="s">
        <v>39</v>
      </c>
      <c r="K163" s="3">
        <v>971.54</v>
      </c>
      <c r="L163" s="3">
        <v>2</v>
      </c>
      <c r="M163" s="3">
        <v>299.31</v>
      </c>
      <c r="N163" s="3">
        <v>0.23</v>
      </c>
    </row>
    <row r="164" spans="3:14" ht="15" customHeight="1">
      <c r="C164" s="3" t="s">
        <v>509</v>
      </c>
      <c r="D164" s="25">
        <v>45891</v>
      </c>
      <c r="E164" s="3" t="s">
        <v>41</v>
      </c>
      <c r="F164" s="3" t="s">
        <v>32</v>
      </c>
      <c r="G164" s="3" t="s">
        <v>15</v>
      </c>
      <c r="H164" s="3" t="s">
        <v>510</v>
      </c>
      <c r="I164" s="3" t="s">
        <v>511</v>
      </c>
      <c r="J164" s="3" t="s">
        <v>18</v>
      </c>
      <c r="K164" s="3">
        <v>1801.25</v>
      </c>
      <c r="L164" s="3">
        <v>10</v>
      </c>
      <c r="M164" s="3">
        <v>471.48</v>
      </c>
      <c r="N164" s="3">
        <v>0.26</v>
      </c>
    </row>
    <row r="165" spans="3:14" ht="15" customHeight="1">
      <c r="C165" s="3" t="s">
        <v>512</v>
      </c>
      <c r="D165" s="25">
        <v>45852</v>
      </c>
      <c r="E165" s="3" t="s">
        <v>20</v>
      </c>
      <c r="F165" s="3" t="s">
        <v>21</v>
      </c>
      <c r="G165" s="3" t="s">
        <v>15</v>
      </c>
      <c r="H165" s="3" t="s">
        <v>513</v>
      </c>
      <c r="I165" s="3" t="s">
        <v>514</v>
      </c>
      <c r="J165" s="3" t="s">
        <v>18</v>
      </c>
      <c r="K165" s="3">
        <v>607.11</v>
      </c>
      <c r="L165" s="3">
        <v>7</v>
      </c>
      <c r="M165" s="3">
        <v>179.03</v>
      </c>
      <c r="N165" s="3">
        <v>0.22</v>
      </c>
    </row>
    <row r="166" spans="3:14" ht="15" customHeight="1">
      <c r="C166" s="3" t="s">
        <v>515</v>
      </c>
      <c r="D166" s="25">
        <v>46011</v>
      </c>
      <c r="E166" s="3" t="s">
        <v>41</v>
      </c>
      <c r="F166" s="3" t="s">
        <v>21</v>
      </c>
      <c r="G166" s="3" t="s">
        <v>15</v>
      </c>
      <c r="H166" s="3" t="s">
        <v>516</v>
      </c>
      <c r="I166" s="3" t="s">
        <v>517</v>
      </c>
      <c r="J166" s="3" t="s">
        <v>39</v>
      </c>
      <c r="K166" s="3">
        <v>738.23</v>
      </c>
      <c r="L166" s="3">
        <v>1</v>
      </c>
      <c r="M166" s="3">
        <v>169.55</v>
      </c>
      <c r="N166" s="3">
        <v>0.13</v>
      </c>
    </row>
    <row r="167" spans="3:14" ht="15" customHeight="1">
      <c r="C167" s="3" t="s">
        <v>518</v>
      </c>
      <c r="D167" s="25">
        <v>45682</v>
      </c>
      <c r="E167" s="3" t="s">
        <v>13</v>
      </c>
      <c r="F167" s="3" t="s">
        <v>14</v>
      </c>
      <c r="G167" s="3" t="s">
        <v>15</v>
      </c>
      <c r="H167" s="3" t="s">
        <v>519</v>
      </c>
      <c r="I167" s="3" t="s">
        <v>520</v>
      </c>
      <c r="J167" s="3" t="s">
        <v>18</v>
      </c>
      <c r="K167" s="3">
        <v>316.64</v>
      </c>
      <c r="L167" s="3">
        <v>9</v>
      </c>
      <c r="M167" s="3">
        <v>59.48</v>
      </c>
      <c r="N167" s="3">
        <v>0.2</v>
      </c>
    </row>
    <row r="168" spans="3:14" ht="15" customHeight="1">
      <c r="C168" s="3" t="s">
        <v>521</v>
      </c>
      <c r="D168" s="25">
        <v>45725</v>
      </c>
      <c r="E168" s="3" t="s">
        <v>13</v>
      </c>
      <c r="F168" s="3" t="s">
        <v>14</v>
      </c>
      <c r="G168" s="3" t="s">
        <v>15</v>
      </c>
      <c r="H168" s="3" t="s">
        <v>522</v>
      </c>
      <c r="I168" s="3" t="s">
        <v>523</v>
      </c>
      <c r="J168" s="3" t="s">
        <v>18</v>
      </c>
      <c r="K168" s="3">
        <v>754.84</v>
      </c>
      <c r="L168" s="3">
        <v>1</v>
      </c>
      <c r="M168" s="3">
        <v>214.17</v>
      </c>
      <c r="N168" s="3">
        <v>0.22</v>
      </c>
    </row>
    <row r="169" spans="3:14" ht="15" customHeight="1">
      <c r="C169" s="3" t="s">
        <v>524</v>
      </c>
      <c r="D169" s="25">
        <v>46016</v>
      </c>
      <c r="E169" s="3" t="s">
        <v>28</v>
      </c>
      <c r="F169" s="3" t="s">
        <v>32</v>
      </c>
      <c r="G169" s="3" t="s">
        <v>15</v>
      </c>
      <c r="H169" s="3" t="s">
        <v>525</v>
      </c>
      <c r="I169" s="3" t="s">
        <v>526</v>
      </c>
      <c r="J169" s="3" t="s">
        <v>18</v>
      </c>
      <c r="K169" s="3">
        <v>885.94</v>
      </c>
      <c r="L169" s="3">
        <v>3</v>
      </c>
      <c r="M169" s="3">
        <v>49.07</v>
      </c>
      <c r="N169" s="3">
        <v>0.1</v>
      </c>
    </row>
    <row r="170" spans="3:14" ht="15" customHeight="1">
      <c r="C170" s="3" t="s">
        <v>527</v>
      </c>
      <c r="D170" s="25">
        <v>45866</v>
      </c>
      <c r="E170" s="3" t="s">
        <v>28</v>
      </c>
      <c r="F170" s="3" t="s">
        <v>14</v>
      </c>
      <c r="G170" s="3" t="s">
        <v>15</v>
      </c>
      <c r="H170" s="3" t="s">
        <v>528</v>
      </c>
      <c r="I170" s="3" t="s">
        <v>529</v>
      </c>
      <c r="J170" s="3" t="s">
        <v>18</v>
      </c>
      <c r="K170" s="3">
        <v>941.43</v>
      </c>
      <c r="L170" s="3">
        <v>1</v>
      </c>
      <c r="M170" s="3">
        <v>226.12</v>
      </c>
      <c r="N170" s="3">
        <v>0.22</v>
      </c>
    </row>
    <row r="171" spans="3:14" ht="15" customHeight="1">
      <c r="C171" s="3" t="s">
        <v>530</v>
      </c>
      <c r="D171" s="25">
        <v>45805</v>
      </c>
      <c r="E171" s="3" t="s">
        <v>20</v>
      </c>
      <c r="F171" s="3" t="s">
        <v>32</v>
      </c>
      <c r="G171" s="3" t="s">
        <v>15</v>
      </c>
      <c r="H171" s="3" t="s">
        <v>531</v>
      </c>
      <c r="I171" s="3" t="s">
        <v>532</v>
      </c>
      <c r="J171" s="3" t="s">
        <v>35</v>
      </c>
      <c r="K171" s="3">
        <v>1704.17</v>
      </c>
      <c r="L171" s="3">
        <v>6</v>
      </c>
      <c r="M171" s="3">
        <v>545.87</v>
      </c>
      <c r="N171" s="3">
        <v>0.1</v>
      </c>
    </row>
    <row r="172" spans="3:14" ht="15" customHeight="1">
      <c r="C172" s="3" t="s">
        <v>533</v>
      </c>
      <c r="D172" s="25">
        <v>45904</v>
      </c>
      <c r="E172" s="3" t="s">
        <v>28</v>
      </c>
      <c r="F172" s="3" t="s">
        <v>14</v>
      </c>
      <c r="G172" s="3" t="s">
        <v>15</v>
      </c>
      <c r="H172" s="3" t="s">
        <v>534</v>
      </c>
      <c r="I172" s="3" t="s">
        <v>535</v>
      </c>
      <c r="J172" s="3" t="s">
        <v>35</v>
      </c>
      <c r="K172" s="3">
        <v>383.41</v>
      </c>
      <c r="L172" s="3">
        <v>4</v>
      </c>
      <c r="M172" s="3">
        <v>100.68</v>
      </c>
      <c r="N172" s="3">
        <v>0.09</v>
      </c>
    </row>
    <row r="173" spans="3:14" ht="15" customHeight="1">
      <c r="C173" s="3" t="s">
        <v>536</v>
      </c>
      <c r="D173" s="25">
        <v>45847</v>
      </c>
      <c r="E173" s="3" t="s">
        <v>28</v>
      </c>
      <c r="F173" s="3" t="s">
        <v>32</v>
      </c>
      <c r="G173" s="3" t="s">
        <v>15</v>
      </c>
      <c r="H173" s="3" t="s">
        <v>537</v>
      </c>
      <c r="I173" s="3" t="s">
        <v>538</v>
      </c>
      <c r="J173" s="3" t="s">
        <v>39</v>
      </c>
      <c r="K173" s="3">
        <v>1416.98</v>
      </c>
      <c r="L173" s="3">
        <v>8</v>
      </c>
      <c r="M173" s="3">
        <v>360.68</v>
      </c>
      <c r="N173" s="3">
        <v>7.0000000000000007E-2</v>
      </c>
    </row>
    <row r="174" spans="3:14" ht="15" customHeight="1">
      <c r="C174" s="3" t="s">
        <v>539</v>
      </c>
      <c r="D174" s="25">
        <v>45972</v>
      </c>
      <c r="E174" s="3" t="s">
        <v>13</v>
      </c>
      <c r="F174" s="3" t="s">
        <v>21</v>
      </c>
      <c r="G174" s="3" t="s">
        <v>15</v>
      </c>
      <c r="H174" s="3" t="s">
        <v>540</v>
      </c>
      <c r="I174" s="3" t="s">
        <v>541</v>
      </c>
      <c r="J174" s="3" t="s">
        <v>18</v>
      </c>
      <c r="K174" s="3">
        <v>1914.54</v>
      </c>
      <c r="L174" s="3">
        <v>8</v>
      </c>
      <c r="M174" s="3">
        <v>192.01</v>
      </c>
      <c r="N174" s="3">
        <v>0.08</v>
      </c>
    </row>
    <row r="175" spans="3:14" ht="15" customHeight="1">
      <c r="C175" s="3" t="s">
        <v>542</v>
      </c>
      <c r="D175" s="25">
        <v>45681</v>
      </c>
      <c r="E175" s="3" t="s">
        <v>20</v>
      </c>
      <c r="F175" s="3" t="s">
        <v>32</v>
      </c>
      <c r="G175" s="3" t="s">
        <v>15</v>
      </c>
      <c r="H175" s="3" t="s">
        <v>543</v>
      </c>
      <c r="I175" s="3" t="s">
        <v>544</v>
      </c>
      <c r="J175" s="3" t="s">
        <v>18</v>
      </c>
      <c r="K175" s="3">
        <v>297.25</v>
      </c>
      <c r="L175" s="3">
        <v>2</v>
      </c>
      <c r="M175" s="3">
        <v>48.22</v>
      </c>
      <c r="N175" s="3">
        <v>0.02</v>
      </c>
    </row>
    <row r="176" spans="3:14" ht="15" customHeight="1">
      <c r="C176" s="3" t="s">
        <v>545</v>
      </c>
      <c r="D176" s="25">
        <v>46007</v>
      </c>
      <c r="E176" s="3" t="s">
        <v>20</v>
      </c>
      <c r="F176" s="3" t="s">
        <v>14</v>
      </c>
      <c r="G176" s="3" t="s">
        <v>15</v>
      </c>
      <c r="H176" s="3" t="s">
        <v>546</v>
      </c>
      <c r="I176" s="3" t="s">
        <v>547</v>
      </c>
      <c r="J176" s="3" t="s">
        <v>18</v>
      </c>
      <c r="K176" s="3">
        <v>1040.8</v>
      </c>
      <c r="L176" s="3">
        <v>3</v>
      </c>
      <c r="M176" s="3">
        <v>75.16</v>
      </c>
      <c r="N176" s="3">
        <v>0.15</v>
      </c>
    </row>
    <row r="177" spans="3:14" ht="15" customHeight="1">
      <c r="C177" s="3" t="s">
        <v>548</v>
      </c>
      <c r="D177" s="25">
        <v>45949</v>
      </c>
      <c r="E177" s="3" t="s">
        <v>28</v>
      </c>
      <c r="F177" s="3" t="s">
        <v>21</v>
      </c>
      <c r="G177" s="3" t="s">
        <v>15</v>
      </c>
      <c r="H177" s="3" t="s">
        <v>549</v>
      </c>
      <c r="I177" s="3" t="s">
        <v>550</v>
      </c>
      <c r="J177" s="3" t="s">
        <v>18</v>
      </c>
      <c r="K177" s="3">
        <v>1531.51</v>
      </c>
      <c r="L177" s="3">
        <v>10</v>
      </c>
      <c r="M177" s="3">
        <v>580.32000000000005</v>
      </c>
      <c r="N177" s="3">
        <v>0.3</v>
      </c>
    </row>
    <row r="178" spans="3:14" ht="15" customHeight="1">
      <c r="C178" s="3" t="s">
        <v>551</v>
      </c>
      <c r="D178" s="25">
        <v>45978</v>
      </c>
      <c r="E178" s="3" t="s">
        <v>41</v>
      </c>
      <c r="F178" s="3" t="s">
        <v>14</v>
      </c>
      <c r="G178" s="3" t="s">
        <v>15</v>
      </c>
      <c r="H178" s="3" t="s">
        <v>552</v>
      </c>
      <c r="I178" s="3" t="s">
        <v>553</v>
      </c>
      <c r="J178" s="3" t="s">
        <v>18</v>
      </c>
      <c r="K178" s="3">
        <v>1451.63</v>
      </c>
      <c r="L178" s="3">
        <v>9</v>
      </c>
      <c r="M178" s="3">
        <v>546.85</v>
      </c>
      <c r="N178" s="3">
        <v>0.1</v>
      </c>
    </row>
    <row r="179" spans="3:14" ht="15" customHeight="1">
      <c r="C179" s="3" t="s">
        <v>554</v>
      </c>
      <c r="D179" s="25">
        <v>45951</v>
      </c>
      <c r="E179" s="3" t="s">
        <v>20</v>
      </c>
      <c r="F179" s="3" t="s">
        <v>32</v>
      </c>
      <c r="G179" s="3" t="s">
        <v>15</v>
      </c>
      <c r="H179" s="3" t="s">
        <v>555</v>
      </c>
      <c r="I179" s="3" t="s">
        <v>556</v>
      </c>
      <c r="J179" s="3" t="s">
        <v>18</v>
      </c>
      <c r="K179" s="3">
        <v>1513.83</v>
      </c>
      <c r="L179" s="3">
        <v>10</v>
      </c>
      <c r="M179" s="3">
        <v>365.61</v>
      </c>
      <c r="N179" s="3">
        <v>0.22</v>
      </c>
    </row>
    <row r="180" spans="3:14" ht="15" customHeight="1">
      <c r="C180" s="3" t="s">
        <v>557</v>
      </c>
      <c r="D180" s="25">
        <v>45800</v>
      </c>
      <c r="E180" s="3" t="s">
        <v>13</v>
      </c>
      <c r="F180" s="3" t="s">
        <v>14</v>
      </c>
      <c r="G180" s="3" t="s">
        <v>15</v>
      </c>
      <c r="H180" s="3" t="s">
        <v>558</v>
      </c>
      <c r="I180" s="3" t="s">
        <v>559</v>
      </c>
      <c r="J180" s="3" t="s">
        <v>35</v>
      </c>
      <c r="K180" s="3">
        <v>217.44</v>
      </c>
      <c r="L180" s="3">
        <v>2</v>
      </c>
      <c r="M180" s="3">
        <v>85.65</v>
      </c>
      <c r="N180" s="3">
        <v>0.2</v>
      </c>
    </row>
    <row r="181" spans="3:14" ht="15" customHeight="1">
      <c r="C181" s="3" t="s">
        <v>560</v>
      </c>
      <c r="D181" s="25">
        <v>45701</v>
      </c>
      <c r="E181" s="3" t="s">
        <v>20</v>
      </c>
      <c r="F181" s="3" t="s">
        <v>32</v>
      </c>
      <c r="G181" s="3" t="s">
        <v>15</v>
      </c>
      <c r="H181" s="3" t="s">
        <v>561</v>
      </c>
      <c r="I181" s="3" t="s">
        <v>562</v>
      </c>
      <c r="J181" s="3" t="s">
        <v>18</v>
      </c>
      <c r="K181" s="3">
        <v>561.39</v>
      </c>
      <c r="L181" s="3">
        <v>7</v>
      </c>
      <c r="M181" s="3">
        <v>79.23</v>
      </c>
      <c r="N181" s="3">
        <v>0.06</v>
      </c>
    </row>
    <row r="182" spans="3:14" ht="15" customHeight="1">
      <c r="C182" s="3" t="s">
        <v>563</v>
      </c>
      <c r="D182" s="25">
        <v>45969</v>
      </c>
      <c r="E182" s="3" t="s">
        <v>13</v>
      </c>
      <c r="F182" s="3" t="s">
        <v>32</v>
      </c>
      <c r="G182" s="3" t="s">
        <v>15</v>
      </c>
      <c r="H182" s="3" t="s">
        <v>564</v>
      </c>
      <c r="I182" s="3" t="s">
        <v>565</v>
      </c>
      <c r="J182" s="3" t="s">
        <v>18</v>
      </c>
      <c r="K182" s="3">
        <v>276.75</v>
      </c>
      <c r="L182" s="3">
        <v>7</v>
      </c>
      <c r="M182" s="3">
        <v>107.47</v>
      </c>
      <c r="N182" s="3">
        <v>0.27</v>
      </c>
    </row>
    <row r="183" spans="3:14" ht="15" customHeight="1">
      <c r="C183" s="3" t="s">
        <v>566</v>
      </c>
      <c r="D183" s="25">
        <v>45850</v>
      </c>
      <c r="E183" s="3" t="s">
        <v>13</v>
      </c>
      <c r="F183" s="3" t="s">
        <v>21</v>
      </c>
      <c r="G183" s="3" t="s">
        <v>15</v>
      </c>
      <c r="H183" s="3" t="s">
        <v>567</v>
      </c>
      <c r="I183" s="3" t="s">
        <v>568</v>
      </c>
      <c r="J183" s="3" t="s">
        <v>39</v>
      </c>
      <c r="K183" s="3">
        <v>154.88999999999999</v>
      </c>
      <c r="L183" s="3">
        <v>6</v>
      </c>
      <c r="M183" s="3">
        <v>47.4</v>
      </c>
      <c r="N183" s="3">
        <v>0.09</v>
      </c>
    </row>
    <row r="184" spans="3:14" ht="15" customHeight="1">
      <c r="C184" s="3" t="s">
        <v>569</v>
      </c>
      <c r="D184" s="25">
        <v>46005</v>
      </c>
      <c r="E184" s="3" t="s">
        <v>41</v>
      </c>
      <c r="F184" s="3" t="s">
        <v>32</v>
      </c>
      <c r="G184" s="3" t="s">
        <v>15</v>
      </c>
      <c r="H184" s="3" t="s">
        <v>570</v>
      </c>
      <c r="I184" s="3" t="s">
        <v>571</v>
      </c>
      <c r="J184" s="3" t="s">
        <v>18</v>
      </c>
      <c r="K184" s="3">
        <v>945.07</v>
      </c>
      <c r="L184" s="3">
        <v>6</v>
      </c>
      <c r="M184" s="3">
        <v>238.54</v>
      </c>
      <c r="N184" s="3">
        <v>0.02</v>
      </c>
    </row>
    <row r="185" spans="3:14" ht="15" customHeight="1">
      <c r="C185" s="3" t="s">
        <v>572</v>
      </c>
      <c r="D185" s="25">
        <v>45895</v>
      </c>
      <c r="E185" s="3" t="s">
        <v>20</v>
      </c>
      <c r="F185" s="3" t="s">
        <v>32</v>
      </c>
      <c r="G185" s="3" t="s">
        <v>15</v>
      </c>
      <c r="H185" s="3" t="s">
        <v>573</v>
      </c>
      <c r="I185" s="3" t="s">
        <v>574</v>
      </c>
      <c r="J185" s="3" t="s">
        <v>39</v>
      </c>
      <c r="K185" s="3">
        <v>491.92</v>
      </c>
      <c r="L185" s="3">
        <v>6</v>
      </c>
      <c r="M185" s="3">
        <v>72.48</v>
      </c>
      <c r="N185" s="3">
        <v>0.15</v>
      </c>
    </row>
    <row r="186" spans="3:14" ht="15" customHeight="1">
      <c r="C186" s="3" t="s">
        <v>575</v>
      </c>
      <c r="D186" s="25">
        <v>45844</v>
      </c>
      <c r="E186" s="3" t="s">
        <v>20</v>
      </c>
      <c r="F186" s="3" t="s">
        <v>21</v>
      </c>
      <c r="G186" s="3" t="s">
        <v>15</v>
      </c>
      <c r="H186" s="3" t="s">
        <v>576</v>
      </c>
      <c r="I186" s="3" t="s">
        <v>577</v>
      </c>
      <c r="J186" s="3" t="s">
        <v>39</v>
      </c>
      <c r="K186" s="3">
        <v>1364.05</v>
      </c>
      <c r="L186" s="3">
        <v>8</v>
      </c>
      <c r="M186" s="3">
        <v>509.56</v>
      </c>
      <c r="N186" s="3">
        <v>0.18</v>
      </c>
    </row>
    <row r="187" spans="3:14" ht="15" customHeight="1">
      <c r="C187" s="3" t="s">
        <v>578</v>
      </c>
      <c r="D187" s="25">
        <v>45753</v>
      </c>
      <c r="E187" s="3" t="s">
        <v>28</v>
      </c>
      <c r="F187" s="3" t="s">
        <v>14</v>
      </c>
      <c r="G187" s="3" t="s">
        <v>15</v>
      </c>
      <c r="H187" s="3" t="s">
        <v>579</v>
      </c>
      <c r="I187" s="3" t="s">
        <v>580</v>
      </c>
      <c r="J187" s="3" t="s">
        <v>35</v>
      </c>
      <c r="K187" s="3">
        <v>1881.53</v>
      </c>
      <c r="L187" s="3">
        <v>4</v>
      </c>
      <c r="M187" s="3">
        <v>711.79</v>
      </c>
      <c r="N187" s="3">
        <v>0.18</v>
      </c>
    </row>
    <row r="188" spans="3:14" ht="15" customHeight="1">
      <c r="C188" s="3" t="s">
        <v>581</v>
      </c>
      <c r="D188" s="25">
        <v>45886</v>
      </c>
      <c r="E188" s="3" t="s">
        <v>28</v>
      </c>
      <c r="F188" s="3" t="s">
        <v>32</v>
      </c>
      <c r="G188" s="3" t="s">
        <v>15</v>
      </c>
      <c r="H188" s="3" t="s">
        <v>582</v>
      </c>
      <c r="I188" s="3" t="s">
        <v>583</v>
      </c>
      <c r="J188" s="3" t="s">
        <v>35</v>
      </c>
      <c r="K188" s="3">
        <v>217.73</v>
      </c>
      <c r="L188" s="3">
        <v>4</v>
      </c>
      <c r="M188" s="3">
        <v>41.55</v>
      </c>
      <c r="N188" s="3">
        <v>0.06</v>
      </c>
    </row>
    <row r="189" spans="3:14" ht="15" customHeight="1">
      <c r="C189" s="3" t="s">
        <v>584</v>
      </c>
      <c r="D189" s="25">
        <v>45720</v>
      </c>
      <c r="E189" s="3" t="s">
        <v>13</v>
      </c>
      <c r="F189" s="3" t="s">
        <v>21</v>
      </c>
      <c r="G189" s="3" t="s">
        <v>15</v>
      </c>
      <c r="H189" s="3" t="s">
        <v>585</v>
      </c>
      <c r="I189" s="3" t="s">
        <v>586</v>
      </c>
      <c r="J189" s="3" t="s">
        <v>35</v>
      </c>
      <c r="K189" s="3">
        <v>476.3</v>
      </c>
      <c r="L189" s="3">
        <v>6</v>
      </c>
      <c r="M189" s="3">
        <v>123.18</v>
      </c>
      <c r="N189" s="3">
        <v>0.02</v>
      </c>
    </row>
    <row r="190" spans="3:14" ht="15" customHeight="1">
      <c r="C190" s="3" t="s">
        <v>587</v>
      </c>
      <c r="D190" s="25">
        <v>45916</v>
      </c>
      <c r="E190" s="3" t="s">
        <v>28</v>
      </c>
      <c r="F190" s="3" t="s">
        <v>21</v>
      </c>
      <c r="G190" s="3" t="s">
        <v>15</v>
      </c>
      <c r="H190" s="3" t="s">
        <v>588</v>
      </c>
      <c r="I190" s="3" t="s">
        <v>589</v>
      </c>
      <c r="J190" s="3" t="s">
        <v>39</v>
      </c>
      <c r="K190" s="3">
        <v>1444.3</v>
      </c>
      <c r="L190" s="3">
        <v>2</v>
      </c>
      <c r="M190" s="3">
        <v>543.33000000000004</v>
      </c>
      <c r="N190" s="3">
        <v>0.11</v>
      </c>
    </row>
    <row r="191" spans="3:14" ht="15" customHeight="1">
      <c r="C191" s="3" t="s">
        <v>590</v>
      </c>
      <c r="D191" s="25">
        <v>45762</v>
      </c>
      <c r="E191" s="3" t="s">
        <v>28</v>
      </c>
      <c r="F191" s="3" t="s">
        <v>21</v>
      </c>
      <c r="G191" s="3" t="s">
        <v>15</v>
      </c>
      <c r="H191" s="3" t="s">
        <v>591</v>
      </c>
      <c r="I191" s="3" t="s">
        <v>592</v>
      </c>
      <c r="J191" s="3" t="s">
        <v>39</v>
      </c>
      <c r="K191" s="3">
        <v>1133.18</v>
      </c>
      <c r="L191" s="3">
        <v>3</v>
      </c>
      <c r="M191" s="3">
        <v>349.23</v>
      </c>
      <c r="N191" s="3">
        <v>0.2</v>
      </c>
    </row>
    <row r="192" spans="3:14" ht="15" customHeight="1">
      <c r="C192" s="3" t="s">
        <v>593</v>
      </c>
      <c r="D192" s="25">
        <v>45885</v>
      </c>
      <c r="E192" s="3" t="s">
        <v>28</v>
      </c>
      <c r="F192" s="3" t="s">
        <v>32</v>
      </c>
      <c r="G192" s="3" t="s">
        <v>15</v>
      </c>
      <c r="H192" s="3" t="s">
        <v>594</v>
      </c>
      <c r="I192" s="3" t="s">
        <v>595</v>
      </c>
      <c r="J192" s="3" t="s">
        <v>35</v>
      </c>
      <c r="K192" s="3">
        <v>1847.85</v>
      </c>
      <c r="L192" s="3">
        <v>5</v>
      </c>
      <c r="M192" s="3">
        <v>718.83</v>
      </c>
      <c r="N192" s="3">
        <v>0.2</v>
      </c>
    </row>
    <row r="193" spans="3:14" ht="15" customHeight="1">
      <c r="C193" s="3" t="s">
        <v>596</v>
      </c>
      <c r="D193" s="25">
        <v>45839</v>
      </c>
      <c r="E193" s="3" t="s">
        <v>20</v>
      </c>
      <c r="F193" s="3" t="s">
        <v>21</v>
      </c>
      <c r="G193" s="3" t="s">
        <v>15</v>
      </c>
      <c r="H193" s="3" t="s">
        <v>597</v>
      </c>
      <c r="I193" s="3" t="s">
        <v>598</v>
      </c>
      <c r="J193" s="3" t="s">
        <v>35</v>
      </c>
      <c r="K193" s="3">
        <v>1865.82</v>
      </c>
      <c r="L193" s="3">
        <v>2</v>
      </c>
      <c r="M193" s="3">
        <v>137.66</v>
      </c>
      <c r="N193" s="3">
        <v>0.14000000000000001</v>
      </c>
    </row>
    <row r="194" spans="3:14" ht="15" customHeight="1">
      <c r="C194" s="3" t="s">
        <v>599</v>
      </c>
      <c r="D194" s="25">
        <v>45716</v>
      </c>
      <c r="E194" s="3" t="s">
        <v>20</v>
      </c>
      <c r="F194" s="3" t="s">
        <v>21</v>
      </c>
      <c r="G194" s="3" t="s">
        <v>15</v>
      </c>
      <c r="H194" s="3" t="s">
        <v>600</v>
      </c>
      <c r="I194" s="3" t="s">
        <v>601</v>
      </c>
      <c r="J194" s="3" t="s">
        <v>18</v>
      </c>
      <c r="K194" s="3">
        <v>748.41</v>
      </c>
      <c r="L194" s="3">
        <v>3</v>
      </c>
      <c r="M194" s="3">
        <v>50.82</v>
      </c>
      <c r="N194" s="3">
        <v>0.1</v>
      </c>
    </row>
    <row r="195" spans="3:14" ht="15" customHeight="1">
      <c r="C195" s="3" t="s">
        <v>602</v>
      </c>
      <c r="D195" s="25">
        <v>45896</v>
      </c>
      <c r="E195" s="3" t="s">
        <v>41</v>
      </c>
      <c r="F195" s="3" t="s">
        <v>32</v>
      </c>
      <c r="G195" s="3" t="s">
        <v>15</v>
      </c>
      <c r="H195" s="3" t="s">
        <v>603</v>
      </c>
      <c r="I195" s="3" t="s">
        <v>604</v>
      </c>
      <c r="J195" s="3" t="s">
        <v>18</v>
      </c>
      <c r="K195" s="3">
        <v>534.6</v>
      </c>
      <c r="L195" s="3">
        <v>2</v>
      </c>
      <c r="M195" s="3">
        <v>123.46</v>
      </c>
      <c r="N195" s="3">
        <v>0.06</v>
      </c>
    </row>
    <row r="196" spans="3:14" ht="15" customHeight="1">
      <c r="C196" s="3" t="s">
        <v>605</v>
      </c>
      <c r="D196" s="25">
        <v>45741</v>
      </c>
      <c r="E196" s="3" t="s">
        <v>13</v>
      </c>
      <c r="F196" s="3" t="s">
        <v>14</v>
      </c>
      <c r="G196" s="3" t="s">
        <v>15</v>
      </c>
      <c r="H196" s="3" t="s">
        <v>606</v>
      </c>
      <c r="I196" s="3" t="s">
        <v>607</v>
      </c>
      <c r="J196" s="3" t="s">
        <v>18</v>
      </c>
      <c r="K196" s="3">
        <v>548.76</v>
      </c>
      <c r="L196" s="3">
        <v>9</v>
      </c>
      <c r="M196" s="3">
        <v>148.41999999999999</v>
      </c>
      <c r="N196" s="3">
        <v>0.15</v>
      </c>
    </row>
    <row r="197" spans="3:14" ht="15" customHeight="1">
      <c r="C197" s="3" t="s">
        <v>608</v>
      </c>
      <c r="D197" s="25">
        <v>45920</v>
      </c>
      <c r="E197" s="3" t="s">
        <v>20</v>
      </c>
      <c r="F197" s="3" t="s">
        <v>14</v>
      </c>
      <c r="G197" s="3" t="s">
        <v>15</v>
      </c>
      <c r="H197" s="3" t="s">
        <v>609</v>
      </c>
      <c r="I197" s="3" t="s">
        <v>610</v>
      </c>
      <c r="J197" s="3" t="s">
        <v>18</v>
      </c>
      <c r="K197" s="3">
        <v>542.97</v>
      </c>
      <c r="L197" s="3">
        <v>10</v>
      </c>
      <c r="M197" s="3">
        <v>99.45</v>
      </c>
      <c r="N197" s="3">
        <v>0.3</v>
      </c>
    </row>
    <row r="198" spans="3:14" ht="15" customHeight="1">
      <c r="C198" s="3" t="s">
        <v>611</v>
      </c>
      <c r="D198" s="25">
        <v>45967</v>
      </c>
      <c r="E198" s="3" t="s">
        <v>13</v>
      </c>
      <c r="F198" s="3" t="s">
        <v>21</v>
      </c>
      <c r="G198" s="3" t="s">
        <v>15</v>
      </c>
      <c r="H198" s="3" t="s">
        <v>612</v>
      </c>
      <c r="I198" s="3" t="s">
        <v>613</v>
      </c>
      <c r="J198" s="3" t="s">
        <v>39</v>
      </c>
      <c r="K198" s="3">
        <v>1771.2</v>
      </c>
      <c r="L198" s="3">
        <v>6</v>
      </c>
      <c r="M198" s="3">
        <v>430.56</v>
      </c>
      <c r="N198" s="3">
        <v>0.22</v>
      </c>
    </row>
    <row r="199" spans="3:14" ht="15" customHeight="1">
      <c r="C199" s="3" t="s">
        <v>614</v>
      </c>
      <c r="D199" s="25">
        <v>45815</v>
      </c>
      <c r="E199" s="3" t="s">
        <v>41</v>
      </c>
      <c r="F199" s="3" t="s">
        <v>14</v>
      </c>
      <c r="G199" s="3" t="s">
        <v>15</v>
      </c>
      <c r="H199" s="3" t="s">
        <v>615</v>
      </c>
      <c r="I199" s="3" t="s">
        <v>616</v>
      </c>
      <c r="J199" s="3" t="s">
        <v>39</v>
      </c>
      <c r="K199" s="3">
        <v>1652.21</v>
      </c>
      <c r="L199" s="3">
        <v>2</v>
      </c>
      <c r="M199" s="3">
        <v>491.85</v>
      </c>
      <c r="N199" s="3">
        <v>0.19</v>
      </c>
    </row>
    <row r="200" spans="3:14" ht="15" customHeight="1">
      <c r="C200" s="3" t="s">
        <v>617</v>
      </c>
      <c r="D200" s="25">
        <v>45866</v>
      </c>
      <c r="E200" s="3" t="s">
        <v>28</v>
      </c>
      <c r="F200" s="3" t="s">
        <v>21</v>
      </c>
      <c r="G200" s="3" t="s">
        <v>15</v>
      </c>
      <c r="H200" s="3" t="s">
        <v>618</v>
      </c>
      <c r="I200" s="3" t="s">
        <v>619</v>
      </c>
      <c r="J200" s="3" t="s">
        <v>35</v>
      </c>
      <c r="K200" s="3">
        <v>1373.66</v>
      </c>
      <c r="L200" s="3">
        <v>3</v>
      </c>
      <c r="M200" s="3">
        <v>520.6</v>
      </c>
      <c r="N200" s="3">
        <v>0.3</v>
      </c>
    </row>
    <row r="201" spans="3:14" ht="15" customHeight="1">
      <c r="C201" s="3" t="s">
        <v>620</v>
      </c>
      <c r="D201" s="25">
        <v>45934</v>
      </c>
      <c r="E201" s="3" t="s">
        <v>41</v>
      </c>
      <c r="F201" s="3" t="s">
        <v>21</v>
      </c>
      <c r="G201" s="3" t="s">
        <v>15</v>
      </c>
      <c r="H201" s="3" t="s">
        <v>621</v>
      </c>
      <c r="I201" s="3" t="s">
        <v>622</v>
      </c>
      <c r="J201" s="3" t="s">
        <v>35</v>
      </c>
      <c r="K201" s="3">
        <v>549.12</v>
      </c>
      <c r="L201" s="3">
        <v>6</v>
      </c>
      <c r="M201" s="3">
        <v>195.19</v>
      </c>
      <c r="N201" s="3">
        <v>7.0000000000000007E-2</v>
      </c>
    </row>
    <row r="202" spans="3:14" ht="15" customHeight="1">
      <c r="C202" s="3" t="s">
        <v>623</v>
      </c>
      <c r="D202" s="25">
        <v>45951</v>
      </c>
      <c r="E202" s="3" t="s">
        <v>28</v>
      </c>
      <c r="F202" s="3" t="s">
        <v>21</v>
      </c>
      <c r="G202" s="3" t="s">
        <v>15</v>
      </c>
      <c r="H202" s="3" t="s">
        <v>624</v>
      </c>
      <c r="I202" s="3" t="s">
        <v>625</v>
      </c>
      <c r="J202" s="3" t="s">
        <v>18</v>
      </c>
      <c r="K202" s="3">
        <v>857.24</v>
      </c>
      <c r="L202" s="3">
        <v>4</v>
      </c>
      <c r="M202" s="3">
        <v>199.66</v>
      </c>
      <c r="N202" s="3">
        <v>0.27</v>
      </c>
    </row>
    <row r="203" spans="3:14" ht="15" customHeight="1">
      <c r="C203" s="3" t="s">
        <v>626</v>
      </c>
      <c r="D203" s="25">
        <v>45877</v>
      </c>
      <c r="E203" s="3" t="s">
        <v>20</v>
      </c>
      <c r="F203" s="3" t="s">
        <v>14</v>
      </c>
      <c r="G203" s="3" t="s">
        <v>15</v>
      </c>
      <c r="H203" s="3" t="s">
        <v>627</v>
      </c>
      <c r="I203" s="3" t="s">
        <v>628</v>
      </c>
      <c r="J203" s="3" t="s">
        <v>18</v>
      </c>
      <c r="K203" s="3">
        <v>720.32</v>
      </c>
      <c r="L203" s="3">
        <v>3</v>
      </c>
      <c r="M203" s="3">
        <v>85.94</v>
      </c>
      <c r="N203" s="3">
        <v>0.03</v>
      </c>
    </row>
    <row r="204" spans="3:14" ht="15" customHeight="1">
      <c r="C204" s="3" t="s">
        <v>629</v>
      </c>
      <c r="D204" s="25">
        <v>45884</v>
      </c>
      <c r="E204" s="3" t="s">
        <v>28</v>
      </c>
      <c r="F204" s="3" t="s">
        <v>32</v>
      </c>
      <c r="G204" s="3" t="s">
        <v>15</v>
      </c>
      <c r="H204" s="3" t="s">
        <v>630</v>
      </c>
      <c r="I204" s="3" t="s">
        <v>631</v>
      </c>
      <c r="J204" s="3" t="s">
        <v>39</v>
      </c>
      <c r="K204" s="3">
        <v>184</v>
      </c>
      <c r="L204" s="3">
        <v>3</v>
      </c>
      <c r="M204" s="3">
        <v>35.85</v>
      </c>
      <c r="N204" s="3">
        <v>0.28000000000000003</v>
      </c>
    </row>
    <row r="205" spans="3:14" ht="15" customHeight="1">
      <c r="C205" s="3" t="s">
        <v>632</v>
      </c>
      <c r="D205" s="25">
        <v>45982</v>
      </c>
      <c r="E205" s="3" t="s">
        <v>41</v>
      </c>
      <c r="F205" s="3" t="s">
        <v>32</v>
      </c>
      <c r="G205" s="3" t="s">
        <v>15</v>
      </c>
      <c r="H205" s="3" t="s">
        <v>633</v>
      </c>
      <c r="I205" s="3" t="s">
        <v>634</v>
      </c>
      <c r="J205" s="3" t="s">
        <v>39</v>
      </c>
      <c r="K205" s="3">
        <v>752.32</v>
      </c>
      <c r="L205" s="3">
        <v>7</v>
      </c>
      <c r="M205" s="3">
        <v>226.46</v>
      </c>
      <c r="N205" s="3">
        <v>0.02</v>
      </c>
    </row>
    <row r="206" spans="3:14" ht="15" customHeight="1">
      <c r="C206" s="3" t="s">
        <v>635</v>
      </c>
      <c r="D206" s="25">
        <v>45730</v>
      </c>
      <c r="E206" s="3" t="s">
        <v>20</v>
      </c>
      <c r="F206" s="3" t="s">
        <v>32</v>
      </c>
      <c r="G206" s="3" t="s">
        <v>15</v>
      </c>
      <c r="H206" s="3" t="s">
        <v>636</v>
      </c>
      <c r="I206" s="3" t="s">
        <v>637</v>
      </c>
      <c r="J206" s="3" t="s">
        <v>18</v>
      </c>
      <c r="K206" s="3">
        <v>485.04</v>
      </c>
      <c r="L206" s="3">
        <v>8</v>
      </c>
      <c r="M206" s="3">
        <v>35.78</v>
      </c>
      <c r="N206" s="3">
        <v>0.05</v>
      </c>
    </row>
    <row r="207" spans="3:14" ht="15" customHeight="1">
      <c r="C207" s="3" t="s">
        <v>638</v>
      </c>
      <c r="D207" s="25">
        <v>45873</v>
      </c>
      <c r="E207" s="3" t="s">
        <v>13</v>
      </c>
      <c r="F207" s="3" t="s">
        <v>14</v>
      </c>
      <c r="G207" s="3" t="s">
        <v>15</v>
      </c>
      <c r="H207" s="3" t="s">
        <v>639</v>
      </c>
      <c r="I207" s="3" t="s">
        <v>640</v>
      </c>
      <c r="J207" s="3" t="s">
        <v>39</v>
      </c>
      <c r="K207" s="3">
        <v>846.34</v>
      </c>
      <c r="L207" s="3">
        <v>2</v>
      </c>
      <c r="M207" s="3">
        <v>295.55</v>
      </c>
      <c r="N207" s="3">
        <v>0.23</v>
      </c>
    </row>
    <row r="208" spans="3:14" ht="15" customHeight="1">
      <c r="C208" s="3" t="s">
        <v>641</v>
      </c>
      <c r="D208" s="25">
        <v>45759</v>
      </c>
      <c r="E208" s="3" t="s">
        <v>41</v>
      </c>
      <c r="F208" s="3" t="s">
        <v>32</v>
      </c>
      <c r="G208" s="3" t="s">
        <v>15</v>
      </c>
      <c r="H208" s="3" t="s">
        <v>642</v>
      </c>
      <c r="I208" s="3" t="s">
        <v>643</v>
      </c>
      <c r="J208" s="3" t="s">
        <v>35</v>
      </c>
      <c r="K208" s="3">
        <v>555.87</v>
      </c>
      <c r="L208" s="3">
        <v>4</v>
      </c>
      <c r="M208" s="3">
        <v>181.6</v>
      </c>
      <c r="N208" s="3">
        <v>0.27</v>
      </c>
    </row>
    <row r="209" spans="3:14" ht="15" customHeight="1">
      <c r="C209" s="3" t="s">
        <v>644</v>
      </c>
      <c r="D209" s="25">
        <v>45698</v>
      </c>
      <c r="E209" s="3" t="s">
        <v>28</v>
      </c>
      <c r="F209" s="3" t="s">
        <v>32</v>
      </c>
      <c r="G209" s="3" t="s">
        <v>15</v>
      </c>
      <c r="H209" s="3" t="s">
        <v>645</v>
      </c>
      <c r="I209" s="3" t="s">
        <v>646</v>
      </c>
      <c r="J209" s="3" t="s">
        <v>35</v>
      </c>
      <c r="K209" s="3">
        <v>1411.29</v>
      </c>
      <c r="L209" s="3">
        <v>4</v>
      </c>
      <c r="M209" s="3">
        <v>507.6</v>
      </c>
      <c r="N209" s="3">
        <v>7.0000000000000007E-2</v>
      </c>
    </row>
    <row r="210" spans="3:14" ht="15" customHeight="1">
      <c r="C210" s="3" t="s">
        <v>647</v>
      </c>
      <c r="D210" s="25">
        <v>45717</v>
      </c>
      <c r="E210" s="3" t="s">
        <v>28</v>
      </c>
      <c r="F210" s="3" t="s">
        <v>32</v>
      </c>
      <c r="G210" s="3" t="s">
        <v>15</v>
      </c>
      <c r="H210" s="3" t="s">
        <v>648</v>
      </c>
      <c r="I210" s="3" t="s">
        <v>649</v>
      </c>
      <c r="J210" s="3" t="s">
        <v>35</v>
      </c>
      <c r="K210" s="3">
        <v>611.26</v>
      </c>
      <c r="L210" s="3">
        <v>10</v>
      </c>
      <c r="M210" s="3">
        <v>154.32</v>
      </c>
      <c r="N210" s="3">
        <v>0.03</v>
      </c>
    </row>
    <row r="211" spans="3:14" ht="15" customHeight="1">
      <c r="C211" s="3" t="s">
        <v>650</v>
      </c>
      <c r="D211" s="25">
        <v>45821</v>
      </c>
      <c r="E211" s="3" t="s">
        <v>20</v>
      </c>
      <c r="F211" s="3" t="s">
        <v>32</v>
      </c>
      <c r="G211" s="3" t="s">
        <v>15</v>
      </c>
      <c r="H211" s="3" t="s">
        <v>651</v>
      </c>
      <c r="I211" s="3" t="s">
        <v>652</v>
      </c>
      <c r="J211" s="3" t="s">
        <v>35</v>
      </c>
      <c r="K211" s="3">
        <v>1497.91</v>
      </c>
      <c r="L211" s="3">
        <v>1</v>
      </c>
      <c r="M211" s="3">
        <v>140.24</v>
      </c>
      <c r="N211" s="3">
        <v>0.03</v>
      </c>
    </row>
    <row r="212" spans="3:14" ht="15" customHeight="1">
      <c r="C212" s="3" t="s">
        <v>653</v>
      </c>
      <c r="D212" s="25">
        <v>45885</v>
      </c>
      <c r="E212" s="3" t="s">
        <v>20</v>
      </c>
      <c r="F212" s="3" t="s">
        <v>14</v>
      </c>
      <c r="G212" s="3" t="s">
        <v>15</v>
      </c>
      <c r="H212" s="3" t="s">
        <v>654</v>
      </c>
      <c r="I212" s="3" t="s">
        <v>655</v>
      </c>
      <c r="J212" s="3" t="s">
        <v>35</v>
      </c>
      <c r="K212" s="3">
        <v>880.01</v>
      </c>
      <c r="L212" s="3">
        <v>4</v>
      </c>
      <c r="M212" s="3">
        <v>218.58</v>
      </c>
      <c r="N212" s="3">
        <v>0.22</v>
      </c>
    </row>
    <row r="213" spans="3:14" ht="15" customHeight="1">
      <c r="C213" s="3" t="s">
        <v>656</v>
      </c>
      <c r="D213" s="25">
        <v>45737</v>
      </c>
      <c r="E213" s="3" t="s">
        <v>13</v>
      </c>
      <c r="F213" s="3" t="s">
        <v>21</v>
      </c>
      <c r="G213" s="3" t="s">
        <v>15</v>
      </c>
      <c r="H213" s="3" t="s">
        <v>657</v>
      </c>
      <c r="I213" s="3" t="s">
        <v>658</v>
      </c>
      <c r="J213" s="3" t="s">
        <v>18</v>
      </c>
      <c r="K213" s="3">
        <v>1090.02</v>
      </c>
      <c r="L213" s="3">
        <v>10</v>
      </c>
      <c r="M213" s="3">
        <v>403.52</v>
      </c>
      <c r="N213" s="3">
        <v>0.06</v>
      </c>
    </row>
    <row r="214" spans="3:14" ht="15" customHeight="1">
      <c r="C214" s="3" t="s">
        <v>659</v>
      </c>
      <c r="D214" s="25">
        <v>45955</v>
      </c>
      <c r="E214" s="3" t="s">
        <v>28</v>
      </c>
      <c r="F214" s="3" t="s">
        <v>14</v>
      </c>
      <c r="G214" s="3" t="s">
        <v>15</v>
      </c>
      <c r="H214" s="3" t="s">
        <v>660</v>
      </c>
      <c r="I214" s="3" t="s">
        <v>661</v>
      </c>
      <c r="J214" s="3" t="s">
        <v>18</v>
      </c>
      <c r="K214" s="3">
        <v>1473.26</v>
      </c>
      <c r="L214" s="3">
        <v>5</v>
      </c>
      <c r="M214" s="3">
        <v>139.62</v>
      </c>
      <c r="N214" s="3">
        <v>0.18</v>
      </c>
    </row>
    <row r="215" spans="3:14" ht="15" customHeight="1">
      <c r="C215" s="3" t="s">
        <v>662</v>
      </c>
      <c r="D215" s="25">
        <v>46011</v>
      </c>
      <c r="E215" s="3" t="s">
        <v>20</v>
      </c>
      <c r="F215" s="3" t="s">
        <v>14</v>
      </c>
      <c r="G215" s="3" t="s">
        <v>15</v>
      </c>
      <c r="H215" s="3" t="s">
        <v>663</v>
      </c>
      <c r="I215" s="3" t="s">
        <v>664</v>
      </c>
      <c r="J215" s="3" t="s">
        <v>39</v>
      </c>
      <c r="K215" s="3">
        <v>622.79999999999995</v>
      </c>
      <c r="L215" s="3">
        <v>4</v>
      </c>
      <c r="M215" s="3">
        <v>66.319999999999993</v>
      </c>
      <c r="N215" s="3">
        <v>0.1</v>
      </c>
    </row>
    <row r="216" spans="3:14" ht="15" customHeight="1">
      <c r="C216" s="3" t="s">
        <v>665</v>
      </c>
      <c r="D216" s="25">
        <v>45682</v>
      </c>
      <c r="E216" s="3" t="s">
        <v>41</v>
      </c>
      <c r="F216" s="3" t="s">
        <v>14</v>
      </c>
      <c r="G216" s="3" t="s">
        <v>15</v>
      </c>
      <c r="H216" s="3" t="s">
        <v>666</v>
      </c>
      <c r="I216" s="3" t="s">
        <v>667</v>
      </c>
      <c r="J216" s="3" t="s">
        <v>39</v>
      </c>
      <c r="K216" s="3">
        <v>1376.32</v>
      </c>
      <c r="L216" s="3">
        <v>7</v>
      </c>
      <c r="M216" s="3">
        <v>468.91</v>
      </c>
      <c r="N216" s="3">
        <v>0.19</v>
      </c>
    </row>
    <row r="217" spans="3:14" ht="15" customHeight="1">
      <c r="C217" s="3" t="s">
        <v>668</v>
      </c>
      <c r="D217" s="25">
        <v>45701</v>
      </c>
      <c r="E217" s="3" t="s">
        <v>28</v>
      </c>
      <c r="F217" s="3" t="s">
        <v>32</v>
      </c>
      <c r="G217" s="3" t="s">
        <v>15</v>
      </c>
      <c r="H217" s="3" t="s">
        <v>669</v>
      </c>
      <c r="I217" s="3" t="s">
        <v>670</v>
      </c>
      <c r="J217" s="3" t="s">
        <v>35</v>
      </c>
      <c r="K217" s="3">
        <v>717.99</v>
      </c>
      <c r="L217" s="3">
        <v>8</v>
      </c>
      <c r="M217" s="3">
        <v>160.75</v>
      </c>
      <c r="N217" s="3">
        <v>7.0000000000000007E-2</v>
      </c>
    </row>
    <row r="218" spans="3:14" ht="15" customHeight="1">
      <c r="C218" s="3" t="s">
        <v>671</v>
      </c>
      <c r="D218" s="25">
        <v>45939</v>
      </c>
      <c r="E218" s="3" t="s">
        <v>28</v>
      </c>
      <c r="F218" s="3" t="s">
        <v>21</v>
      </c>
      <c r="G218" s="3" t="s">
        <v>15</v>
      </c>
      <c r="H218" s="3" t="s">
        <v>672</v>
      </c>
      <c r="I218" s="3" t="s">
        <v>673</v>
      </c>
      <c r="J218" s="3" t="s">
        <v>35</v>
      </c>
      <c r="K218" s="3">
        <v>1911.63</v>
      </c>
      <c r="L218" s="3">
        <v>9</v>
      </c>
      <c r="M218" s="3">
        <v>645.24</v>
      </c>
      <c r="N218" s="3">
        <v>0.28000000000000003</v>
      </c>
    </row>
    <row r="219" spans="3:14" ht="15" customHeight="1">
      <c r="C219" s="3" t="s">
        <v>674</v>
      </c>
      <c r="D219" s="25">
        <v>45759</v>
      </c>
      <c r="E219" s="3" t="s">
        <v>20</v>
      </c>
      <c r="F219" s="3" t="s">
        <v>32</v>
      </c>
      <c r="G219" s="3" t="s">
        <v>15</v>
      </c>
      <c r="H219" s="3" t="s">
        <v>675</v>
      </c>
      <c r="I219" s="3" t="s">
        <v>676</v>
      </c>
      <c r="J219" s="3" t="s">
        <v>35</v>
      </c>
      <c r="K219" s="3">
        <v>1972.02</v>
      </c>
      <c r="L219" s="3">
        <v>2</v>
      </c>
      <c r="M219" s="3">
        <v>106.07</v>
      </c>
      <c r="N219" s="3">
        <v>0.11</v>
      </c>
    </row>
    <row r="220" spans="3:14" ht="15" customHeight="1">
      <c r="C220" s="3" t="s">
        <v>677</v>
      </c>
      <c r="D220" s="25">
        <v>45901</v>
      </c>
      <c r="E220" s="3" t="s">
        <v>20</v>
      </c>
      <c r="F220" s="3" t="s">
        <v>21</v>
      </c>
      <c r="G220" s="3" t="s">
        <v>15</v>
      </c>
      <c r="H220" s="3" t="s">
        <v>678</v>
      </c>
      <c r="I220" s="3" t="s">
        <v>679</v>
      </c>
      <c r="J220" s="3" t="s">
        <v>35</v>
      </c>
      <c r="K220" s="3">
        <v>1535.26</v>
      </c>
      <c r="L220" s="3">
        <v>2</v>
      </c>
      <c r="M220" s="3">
        <v>528.84</v>
      </c>
      <c r="N220" s="3">
        <v>0.28000000000000003</v>
      </c>
    </row>
    <row r="221" spans="3:14" ht="15" customHeight="1">
      <c r="C221" s="3" t="s">
        <v>680</v>
      </c>
      <c r="D221" s="25">
        <v>45848</v>
      </c>
      <c r="E221" s="3" t="s">
        <v>28</v>
      </c>
      <c r="F221" s="3" t="s">
        <v>32</v>
      </c>
      <c r="G221" s="3" t="s">
        <v>15</v>
      </c>
      <c r="H221" s="3" t="s">
        <v>681</v>
      </c>
      <c r="I221" s="3" t="s">
        <v>682</v>
      </c>
      <c r="J221" s="3" t="s">
        <v>18</v>
      </c>
      <c r="K221" s="3">
        <v>1086.69</v>
      </c>
      <c r="L221" s="3">
        <v>8</v>
      </c>
      <c r="M221" s="3">
        <v>421.47</v>
      </c>
      <c r="N221" s="3">
        <v>0.09</v>
      </c>
    </row>
    <row r="222" spans="3:14" ht="15" customHeight="1">
      <c r="C222" s="3" t="s">
        <v>683</v>
      </c>
      <c r="D222" s="25">
        <v>45855</v>
      </c>
      <c r="E222" s="3" t="s">
        <v>28</v>
      </c>
      <c r="F222" s="3" t="s">
        <v>14</v>
      </c>
      <c r="G222" s="3" t="s">
        <v>15</v>
      </c>
      <c r="H222" s="3" t="s">
        <v>684</v>
      </c>
      <c r="I222" s="3" t="s">
        <v>685</v>
      </c>
      <c r="J222" s="3" t="s">
        <v>18</v>
      </c>
      <c r="K222" s="3">
        <v>815.66</v>
      </c>
      <c r="L222" s="3">
        <v>4</v>
      </c>
      <c r="M222" s="3">
        <v>81.52</v>
      </c>
      <c r="N222" s="3">
        <v>0.23</v>
      </c>
    </row>
    <row r="223" spans="3:14" ht="15" customHeight="1">
      <c r="C223" s="3" t="s">
        <v>686</v>
      </c>
      <c r="D223" s="25">
        <v>45782</v>
      </c>
      <c r="E223" s="3" t="s">
        <v>41</v>
      </c>
      <c r="F223" s="3" t="s">
        <v>21</v>
      </c>
      <c r="G223" s="3" t="s">
        <v>15</v>
      </c>
      <c r="H223" s="3" t="s">
        <v>687</v>
      </c>
      <c r="I223" s="3" t="s">
        <v>688</v>
      </c>
      <c r="J223" s="3" t="s">
        <v>18</v>
      </c>
      <c r="K223" s="3">
        <v>193.75</v>
      </c>
      <c r="L223" s="3">
        <v>1</v>
      </c>
      <c r="M223" s="3">
        <v>21.8</v>
      </c>
      <c r="N223" s="3">
        <v>0.26</v>
      </c>
    </row>
    <row r="224" spans="3:14" ht="15" customHeight="1">
      <c r="C224" s="3" t="s">
        <v>689</v>
      </c>
      <c r="D224" s="25">
        <v>46003</v>
      </c>
      <c r="E224" s="3" t="s">
        <v>41</v>
      </c>
      <c r="F224" s="3" t="s">
        <v>14</v>
      </c>
      <c r="G224" s="3" t="s">
        <v>15</v>
      </c>
      <c r="H224" s="3" t="s">
        <v>690</v>
      </c>
      <c r="I224" s="3" t="s">
        <v>691</v>
      </c>
      <c r="J224" s="3" t="s">
        <v>35</v>
      </c>
      <c r="K224" s="3">
        <v>118.96</v>
      </c>
      <c r="L224" s="3">
        <v>2</v>
      </c>
      <c r="M224" s="3">
        <v>13.06</v>
      </c>
      <c r="N224" s="3">
        <v>0.09</v>
      </c>
    </row>
    <row r="225" spans="3:14" ht="15" customHeight="1">
      <c r="C225" s="3" t="s">
        <v>692</v>
      </c>
      <c r="D225" s="25">
        <v>46002</v>
      </c>
      <c r="E225" s="3" t="s">
        <v>41</v>
      </c>
      <c r="F225" s="3" t="s">
        <v>14</v>
      </c>
      <c r="G225" s="3" t="s">
        <v>15</v>
      </c>
      <c r="H225" s="3" t="s">
        <v>693</v>
      </c>
      <c r="I225" s="3" t="s">
        <v>694</v>
      </c>
      <c r="J225" s="3" t="s">
        <v>35</v>
      </c>
      <c r="K225" s="3">
        <v>1136.49</v>
      </c>
      <c r="L225" s="3">
        <v>1</v>
      </c>
      <c r="M225" s="3">
        <v>441.09</v>
      </c>
      <c r="N225" s="3">
        <v>0.16</v>
      </c>
    </row>
    <row r="226" spans="3:14" ht="15" customHeight="1">
      <c r="C226" s="3" t="s">
        <v>695</v>
      </c>
      <c r="D226" s="25">
        <v>45921</v>
      </c>
      <c r="E226" s="3" t="s">
        <v>28</v>
      </c>
      <c r="F226" s="3" t="s">
        <v>32</v>
      </c>
      <c r="G226" s="3" t="s">
        <v>15</v>
      </c>
      <c r="H226" s="3" t="s">
        <v>696</v>
      </c>
      <c r="I226" s="3" t="s">
        <v>697</v>
      </c>
      <c r="J226" s="3" t="s">
        <v>35</v>
      </c>
      <c r="K226" s="3">
        <v>715.62</v>
      </c>
      <c r="L226" s="3">
        <v>8</v>
      </c>
      <c r="M226" s="3">
        <v>177.87</v>
      </c>
      <c r="N226" s="3">
        <v>0.12</v>
      </c>
    </row>
    <row r="227" spans="3:14" ht="15" customHeight="1">
      <c r="C227" s="3" t="s">
        <v>698</v>
      </c>
      <c r="D227" s="25">
        <v>45672</v>
      </c>
      <c r="E227" s="3" t="s">
        <v>28</v>
      </c>
      <c r="F227" s="3" t="s">
        <v>14</v>
      </c>
      <c r="G227" s="3" t="s">
        <v>15</v>
      </c>
      <c r="H227" s="3" t="s">
        <v>699</v>
      </c>
      <c r="I227" s="3" t="s">
        <v>700</v>
      </c>
      <c r="J227" s="3" t="s">
        <v>18</v>
      </c>
      <c r="K227" s="3">
        <v>890.72</v>
      </c>
      <c r="L227" s="3">
        <v>5</v>
      </c>
      <c r="M227" s="3">
        <v>298.42</v>
      </c>
      <c r="N227" s="3">
        <v>0.25</v>
      </c>
    </row>
    <row r="228" spans="3:14" ht="15" customHeight="1">
      <c r="C228" s="3" t="s">
        <v>701</v>
      </c>
      <c r="D228" s="25">
        <v>45720</v>
      </c>
      <c r="E228" s="3" t="s">
        <v>28</v>
      </c>
      <c r="F228" s="3" t="s">
        <v>32</v>
      </c>
      <c r="G228" s="3" t="s">
        <v>15</v>
      </c>
      <c r="H228" s="3" t="s">
        <v>702</v>
      </c>
      <c r="I228" s="3" t="s">
        <v>703</v>
      </c>
      <c r="J228" s="3" t="s">
        <v>35</v>
      </c>
      <c r="K228" s="3">
        <v>1977.2</v>
      </c>
      <c r="L228" s="3">
        <v>9</v>
      </c>
      <c r="M228" s="3">
        <v>459.31</v>
      </c>
      <c r="N228" s="3">
        <v>0.26</v>
      </c>
    </row>
    <row r="229" spans="3:14" ht="15" customHeight="1">
      <c r="C229" s="3" t="s">
        <v>704</v>
      </c>
      <c r="D229" s="25">
        <v>45853</v>
      </c>
      <c r="E229" s="3" t="s">
        <v>13</v>
      </c>
      <c r="F229" s="3" t="s">
        <v>21</v>
      </c>
      <c r="G229" s="3" t="s">
        <v>15</v>
      </c>
      <c r="H229" s="3" t="s">
        <v>705</v>
      </c>
      <c r="I229" s="3" t="s">
        <v>706</v>
      </c>
      <c r="J229" s="3" t="s">
        <v>35</v>
      </c>
      <c r="K229" s="3">
        <v>1409.45</v>
      </c>
      <c r="L229" s="3">
        <v>9</v>
      </c>
      <c r="M229" s="3">
        <v>246.85</v>
      </c>
      <c r="N229" s="3">
        <v>0.09</v>
      </c>
    </row>
    <row r="230" spans="3:14" ht="15" customHeight="1">
      <c r="C230" s="3" t="s">
        <v>707</v>
      </c>
      <c r="D230" s="25">
        <v>45894</v>
      </c>
      <c r="E230" s="3" t="s">
        <v>41</v>
      </c>
      <c r="F230" s="3" t="s">
        <v>32</v>
      </c>
      <c r="G230" s="3" t="s">
        <v>15</v>
      </c>
      <c r="H230" s="3" t="s">
        <v>708</v>
      </c>
      <c r="I230" s="3" t="s">
        <v>709</v>
      </c>
      <c r="J230" s="3" t="s">
        <v>18</v>
      </c>
      <c r="K230" s="3">
        <v>1207.28</v>
      </c>
      <c r="L230" s="3">
        <v>1</v>
      </c>
      <c r="M230" s="3">
        <v>275.97000000000003</v>
      </c>
      <c r="N230" s="3">
        <v>0.01</v>
      </c>
    </row>
    <row r="231" spans="3:14" ht="15" customHeight="1">
      <c r="C231" s="3" t="s">
        <v>710</v>
      </c>
      <c r="D231" s="25">
        <v>46004</v>
      </c>
      <c r="E231" s="3" t="s">
        <v>20</v>
      </c>
      <c r="F231" s="3" t="s">
        <v>21</v>
      </c>
      <c r="G231" s="3" t="s">
        <v>15</v>
      </c>
      <c r="H231" s="3" t="s">
        <v>711</v>
      </c>
      <c r="I231" s="3" t="s">
        <v>712</v>
      </c>
      <c r="J231" s="3" t="s">
        <v>39</v>
      </c>
      <c r="K231" s="3">
        <v>133.5</v>
      </c>
      <c r="L231" s="3">
        <v>5</v>
      </c>
      <c r="M231" s="3">
        <v>51.2</v>
      </c>
      <c r="N231" s="3">
        <v>0.15</v>
      </c>
    </row>
    <row r="232" spans="3:14" ht="15" customHeight="1">
      <c r="C232" s="3" t="s">
        <v>713</v>
      </c>
      <c r="D232" s="25">
        <v>45718</v>
      </c>
      <c r="E232" s="3" t="s">
        <v>28</v>
      </c>
      <c r="F232" s="3" t="s">
        <v>32</v>
      </c>
      <c r="G232" s="3" t="s">
        <v>15</v>
      </c>
      <c r="H232" s="3" t="s">
        <v>714</v>
      </c>
      <c r="I232" s="3" t="s">
        <v>715</v>
      </c>
      <c r="J232" s="3" t="s">
        <v>39</v>
      </c>
      <c r="K232" s="3">
        <v>877.08</v>
      </c>
      <c r="L232" s="3">
        <v>8</v>
      </c>
      <c r="M232" s="3">
        <v>132.87</v>
      </c>
      <c r="N232" s="3">
        <v>0.04</v>
      </c>
    </row>
    <row r="233" spans="3:14" ht="15" customHeight="1">
      <c r="C233" s="3" t="s">
        <v>716</v>
      </c>
      <c r="D233" s="25">
        <v>45703</v>
      </c>
      <c r="E233" s="3" t="s">
        <v>41</v>
      </c>
      <c r="F233" s="3" t="s">
        <v>14</v>
      </c>
      <c r="G233" s="3" t="s">
        <v>15</v>
      </c>
      <c r="H233" s="3" t="s">
        <v>717</v>
      </c>
      <c r="I233" s="3" t="s">
        <v>718</v>
      </c>
      <c r="J233" s="3" t="s">
        <v>35</v>
      </c>
      <c r="K233" s="3">
        <v>221.27</v>
      </c>
      <c r="L233" s="3">
        <v>1</v>
      </c>
      <c r="M233" s="3">
        <v>74.400000000000006</v>
      </c>
      <c r="N233" s="3">
        <v>0.25</v>
      </c>
    </row>
    <row r="234" spans="3:14" ht="15" customHeight="1">
      <c r="C234" s="3" t="s">
        <v>719</v>
      </c>
      <c r="D234" s="25">
        <v>45934</v>
      </c>
      <c r="E234" s="3" t="s">
        <v>28</v>
      </c>
      <c r="F234" s="3" t="s">
        <v>21</v>
      </c>
      <c r="G234" s="3" t="s">
        <v>15</v>
      </c>
      <c r="H234" s="3" t="s">
        <v>720</v>
      </c>
      <c r="I234" s="3" t="s">
        <v>721</v>
      </c>
      <c r="J234" s="3" t="s">
        <v>35</v>
      </c>
      <c r="K234" s="3">
        <v>1431.07</v>
      </c>
      <c r="L234" s="3">
        <v>5</v>
      </c>
      <c r="M234" s="3">
        <v>131.88</v>
      </c>
      <c r="N234" s="3">
        <v>0.21</v>
      </c>
    </row>
    <row r="235" spans="3:14" ht="15" customHeight="1">
      <c r="C235" s="3" t="s">
        <v>722</v>
      </c>
      <c r="D235" s="25">
        <v>45691</v>
      </c>
      <c r="E235" s="3" t="s">
        <v>28</v>
      </c>
      <c r="F235" s="3" t="s">
        <v>32</v>
      </c>
      <c r="G235" s="3" t="s">
        <v>15</v>
      </c>
      <c r="H235" s="3" t="s">
        <v>723</v>
      </c>
      <c r="I235" s="3" t="s">
        <v>724</v>
      </c>
      <c r="J235" s="3" t="s">
        <v>18</v>
      </c>
      <c r="K235" s="3">
        <v>687.31</v>
      </c>
      <c r="L235" s="3">
        <v>5</v>
      </c>
      <c r="M235" s="3">
        <v>246.9</v>
      </c>
      <c r="N235" s="3">
        <v>0.19</v>
      </c>
    </row>
    <row r="236" spans="3:14" ht="15" customHeight="1">
      <c r="C236" s="3" t="s">
        <v>725</v>
      </c>
      <c r="D236" s="25">
        <v>45720</v>
      </c>
      <c r="E236" s="3" t="s">
        <v>13</v>
      </c>
      <c r="F236" s="3" t="s">
        <v>21</v>
      </c>
      <c r="G236" s="3" t="s">
        <v>15</v>
      </c>
      <c r="H236" s="3" t="s">
        <v>726</v>
      </c>
      <c r="I236" s="3" t="s">
        <v>727</v>
      </c>
      <c r="J236" s="3" t="s">
        <v>18</v>
      </c>
      <c r="K236" s="3">
        <v>1148.22</v>
      </c>
      <c r="L236" s="3">
        <v>5</v>
      </c>
      <c r="M236" s="3">
        <v>88.54</v>
      </c>
      <c r="N236" s="3">
        <v>0.18</v>
      </c>
    </row>
    <row r="237" spans="3:14" ht="15" customHeight="1">
      <c r="C237" s="3" t="s">
        <v>728</v>
      </c>
      <c r="D237" s="25">
        <v>45950</v>
      </c>
      <c r="E237" s="3" t="s">
        <v>13</v>
      </c>
      <c r="F237" s="3" t="s">
        <v>14</v>
      </c>
      <c r="G237" s="3" t="s">
        <v>15</v>
      </c>
      <c r="H237" s="3" t="s">
        <v>729</v>
      </c>
      <c r="I237" s="3" t="s">
        <v>730</v>
      </c>
      <c r="J237" s="3" t="s">
        <v>18</v>
      </c>
      <c r="K237" s="3">
        <v>1821.91</v>
      </c>
      <c r="L237" s="3">
        <v>5</v>
      </c>
      <c r="M237" s="3">
        <v>206.47</v>
      </c>
      <c r="N237" s="3">
        <v>0.26</v>
      </c>
    </row>
    <row r="238" spans="3:14" ht="15" customHeight="1">
      <c r="C238" s="3" t="s">
        <v>731</v>
      </c>
      <c r="D238" s="25">
        <v>45790</v>
      </c>
      <c r="E238" s="3" t="s">
        <v>13</v>
      </c>
      <c r="F238" s="3" t="s">
        <v>32</v>
      </c>
      <c r="G238" s="3" t="s">
        <v>15</v>
      </c>
      <c r="H238" s="3" t="s">
        <v>732</v>
      </c>
      <c r="I238" s="3" t="s">
        <v>733</v>
      </c>
      <c r="J238" s="3" t="s">
        <v>18</v>
      </c>
      <c r="K238" s="3">
        <v>742.44</v>
      </c>
      <c r="L238" s="3">
        <v>4</v>
      </c>
      <c r="M238" s="3">
        <v>219.15</v>
      </c>
      <c r="N238" s="3">
        <v>0.11</v>
      </c>
    </row>
    <row r="239" spans="3:14" ht="15" customHeight="1">
      <c r="C239" s="3" t="s">
        <v>734</v>
      </c>
      <c r="D239" s="25">
        <v>45682</v>
      </c>
      <c r="E239" s="3" t="s">
        <v>20</v>
      </c>
      <c r="F239" s="3" t="s">
        <v>32</v>
      </c>
      <c r="G239" s="3" t="s">
        <v>15</v>
      </c>
      <c r="H239" s="3" t="s">
        <v>735</v>
      </c>
      <c r="I239" s="3" t="s">
        <v>736</v>
      </c>
      <c r="J239" s="3" t="s">
        <v>39</v>
      </c>
      <c r="K239" s="3">
        <v>1709.85</v>
      </c>
      <c r="L239" s="3">
        <v>9</v>
      </c>
      <c r="M239" s="3">
        <v>148.34</v>
      </c>
      <c r="N239" s="3">
        <v>0</v>
      </c>
    </row>
    <row r="240" spans="3:14" ht="15" customHeight="1">
      <c r="C240" s="3" t="s">
        <v>737</v>
      </c>
      <c r="D240" s="25">
        <v>45669</v>
      </c>
      <c r="E240" s="3" t="s">
        <v>20</v>
      </c>
      <c r="F240" s="3" t="s">
        <v>32</v>
      </c>
      <c r="G240" s="3" t="s">
        <v>15</v>
      </c>
      <c r="H240" s="3" t="s">
        <v>738</v>
      </c>
      <c r="I240" s="3" t="s">
        <v>739</v>
      </c>
      <c r="J240" s="3" t="s">
        <v>39</v>
      </c>
      <c r="K240" s="3">
        <v>639.70000000000005</v>
      </c>
      <c r="L240" s="3">
        <v>5</v>
      </c>
      <c r="M240" s="3">
        <v>71.83</v>
      </c>
      <c r="N240" s="3">
        <v>0.09</v>
      </c>
    </row>
    <row r="241" spans="3:14" ht="15" customHeight="1">
      <c r="C241" s="3" t="s">
        <v>740</v>
      </c>
      <c r="D241" s="25">
        <v>45934</v>
      </c>
      <c r="E241" s="3" t="s">
        <v>20</v>
      </c>
      <c r="F241" s="3" t="s">
        <v>21</v>
      </c>
      <c r="G241" s="3" t="s">
        <v>15</v>
      </c>
      <c r="H241" s="3" t="s">
        <v>741</v>
      </c>
      <c r="I241" s="3" t="s">
        <v>742</v>
      </c>
      <c r="J241" s="3" t="s">
        <v>18</v>
      </c>
      <c r="K241" s="3">
        <v>1493.18</v>
      </c>
      <c r="L241" s="3">
        <v>10</v>
      </c>
      <c r="M241" s="3">
        <v>326.08</v>
      </c>
      <c r="N241" s="3">
        <v>0.19</v>
      </c>
    </row>
    <row r="242" spans="3:14" ht="15" customHeight="1">
      <c r="C242" s="3" t="s">
        <v>743</v>
      </c>
      <c r="D242" s="25">
        <v>45781</v>
      </c>
      <c r="E242" s="3" t="s">
        <v>20</v>
      </c>
      <c r="F242" s="3" t="s">
        <v>21</v>
      </c>
      <c r="G242" s="3" t="s">
        <v>15</v>
      </c>
      <c r="H242" s="3" t="s">
        <v>744</v>
      </c>
      <c r="I242" s="3" t="s">
        <v>745</v>
      </c>
      <c r="J242" s="3" t="s">
        <v>35</v>
      </c>
      <c r="K242" s="3">
        <v>108.57</v>
      </c>
      <c r="L242" s="3">
        <v>8</v>
      </c>
      <c r="M242" s="3">
        <v>11.43</v>
      </c>
      <c r="N242" s="3">
        <v>0.11</v>
      </c>
    </row>
    <row r="243" spans="3:14" ht="15" customHeight="1">
      <c r="C243" s="3" t="s">
        <v>746</v>
      </c>
      <c r="D243" s="25">
        <v>45783</v>
      </c>
      <c r="E243" s="3" t="s">
        <v>13</v>
      </c>
      <c r="F243" s="3" t="s">
        <v>21</v>
      </c>
      <c r="G243" s="3" t="s">
        <v>15</v>
      </c>
      <c r="H243" s="3" t="s">
        <v>747</v>
      </c>
      <c r="I243" s="3" t="s">
        <v>748</v>
      </c>
      <c r="J243" s="3" t="s">
        <v>18</v>
      </c>
      <c r="K243" s="3">
        <v>1191.29</v>
      </c>
      <c r="L243" s="3">
        <v>6</v>
      </c>
      <c r="M243" s="3">
        <v>352.19</v>
      </c>
      <c r="N243" s="3">
        <v>0.17</v>
      </c>
    </row>
    <row r="244" spans="3:14" ht="15" customHeight="1">
      <c r="C244" s="3" t="s">
        <v>749</v>
      </c>
      <c r="D244" s="25">
        <v>45964</v>
      </c>
      <c r="E244" s="3" t="s">
        <v>20</v>
      </c>
      <c r="F244" s="3" t="s">
        <v>21</v>
      </c>
      <c r="G244" s="3" t="s">
        <v>15</v>
      </c>
      <c r="H244" s="3" t="s">
        <v>750</v>
      </c>
      <c r="I244" s="3" t="s">
        <v>751</v>
      </c>
      <c r="J244" s="3" t="s">
        <v>39</v>
      </c>
      <c r="K244" s="3">
        <v>905.44</v>
      </c>
      <c r="L244" s="3">
        <v>2</v>
      </c>
      <c r="M244" s="3">
        <v>172.2</v>
      </c>
      <c r="N244" s="3">
        <v>0.15</v>
      </c>
    </row>
    <row r="245" spans="3:14" ht="15" customHeight="1">
      <c r="C245" s="3" t="s">
        <v>752</v>
      </c>
      <c r="D245" s="25">
        <v>45978</v>
      </c>
      <c r="E245" s="3" t="s">
        <v>13</v>
      </c>
      <c r="F245" s="3" t="s">
        <v>21</v>
      </c>
      <c r="G245" s="3" t="s">
        <v>15</v>
      </c>
      <c r="H245" s="3" t="s">
        <v>753</v>
      </c>
      <c r="I245" s="3" t="s">
        <v>754</v>
      </c>
      <c r="J245" s="3" t="s">
        <v>35</v>
      </c>
      <c r="K245" s="3">
        <v>718.47</v>
      </c>
      <c r="L245" s="3">
        <v>10</v>
      </c>
      <c r="M245" s="3">
        <v>141.68</v>
      </c>
      <c r="N245" s="3">
        <v>0.05</v>
      </c>
    </row>
    <row r="246" spans="3:14" ht="15" customHeight="1">
      <c r="C246" s="3" t="s">
        <v>755</v>
      </c>
      <c r="D246" s="25">
        <v>45968</v>
      </c>
      <c r="E246" s="3" t="s">
        <v>20</v>
      </c>
      <c r="F246" s="3" t="s">
        <v>14</v>
      </c>
      <c r="G246" s="3" t="s">
        <v>15</v>
      </c>
      <c r="H246" s="3" t="s">
        <v>756</v>
      </c>
      <c r="I246" s="3" t="s">
        <v>757</v>
      </c>
      <c r="J246" s="3" t="s">
        <v>35</v>
      </c>
      <c r="K246" s="3">
        <v>700.57</v>
      </c>
      <c r="L246" s="3">
        <v>3</v>
      </c>
      <c r="M246" s="3">
        <v>144.38</v>
      </c>
      <c r="N246" s="3">
        <v>0.28000000000000003</v>
      </c>
    </row>
    <row r="247" spans="3:14" ht="15" customHeight="1">
      <c r="C247" s="3" t="s">
        <v>758</v>
      </c>
      <c r="D247" s="25">
        <v>45756</v>
      </c>
      <c r="E247" s="3" t="s">
        <v>20</v>
      </c>
      <c r="F247" s="3" t="s">
        <v>21</v>
      </c>
      <c r="G247" s="3" t="s">
        <v>15</v>
      </c>
      <c r="H247" s="3" t="s">
        <v>759</v>
      </c>
      <c r="I247" s="3" t="s">
        <v>760</v>
      </c>
      <c r="J247" s="3" t="s">
        <v>18</v>
      </c>
      <c r="K247" s="3">
        <v>1286.58</v>
      </c>
      <c r="L247" s="3">
        <v>3</v>
      </c>
      <c r="M247" s="3">
        <v>144.61000000000001</v>
      </c>
      <c r="N247" s="3">
        <v>0.03</v>
      </c>
    </row>
    <row r="248" spans="3:14" ht="15" customHeight="1">
      <c r="C248" s="3" t="s">
        <v>761</v>
      </c>
      <c r="D248" s="25">
        <v>45792</v>
      </c>
      <c r="E248" s="3" t="s">
        <v>28</v>
      </c>
      <c r="F248" s="3" t="s">
        <v>32</v>
      </c>
      <c r="G248" s="3" t="s">
        <v>15</v>
      </c>
      <c r="H248" s="3" t="s">
        <v>762</v>
      </c>
      <c r="I248" s="3" t="s">
        <v>763</v>
      </c>
      <c r="J248" s="3" t="s">
        <v>18</v>
      </c>
      <c r="K248" s="3">
        <v>940.01</v>
      </c>
      <c r="L248" s="3">
        <v>2</v>
      </c>
      <c r="M248" s="3">
        <v>216.92</v>
      </c>
      <c r="N248" s="3">
        <v>0.12</v>
      </c>
    </row>
    <row r="249" spans="3:14" ht="15" customHeight="1">
      <c r="C249" s="3" t="s">
        <v>764</v>
      </c>
      <c r="D249" s="25">
        <v>45743</v>
      </c>
      <c r="E249" s="3" t="s">
        <v>28</v>
      </c>
      <c r="F249" s="3" t="s">
        <v>14</v>
      </c>
      <c r="G249" s="3" t="s">
        <v>15</v>
      </c>
      <c r="H249" s="3" t="s">
        <v>765</v>
      </c>
      <c r="I249" s="3" t="s">
        <v>766</v>
      </c>
      <c r="J249" s="3" t="s">
        <v>35</v>
      </c>
      <c r="K249" s="3">
        <v>463.29</v>
      </c>
      <c r="L249" s="3">
        <v>5</v>
      </c>
      <c r="M249" s="3">
        <v>132.29</v>
      </c>
      <c r="N249" s="3">
        <v>0.09</v>
      </c>
    </row>
    <row r="250" spans="3:14" ht="15" customHeight="1">
      <c r="C250" s="3" t="s">
        <v>767</v>
      </c>
      <c r="D250" s="25">
        <v>45872</v>
      </c>
      <c r="E250" s="3" t="s">
        <v>13</v>
      </c>
      <c r="F250" s="3" t="s">
        <v>14</v>
      </c>
      <c r="G250" s="3" t="s">
        <v>15</v>
      </c>
      <c r="H250" s="3" t="s">
        <v>768</v>
      </c>
      <c r="I250" s="3" t="s">
        <v>769</v>
      </c>
      <c r="J250" s="3" t="s">
        <v>39</v>
      </c>
      <c r="K250" s="3">
        <v>1558.76</v>
      </c>
      <c r="L250" s="3">
        <v>3</v>
      </c>
      <c r="M250" s="3">
        <v>507.8</v>
      </c>
      <c r="N250" s="3">
        <v>0.1</v>
      </c>
    </row>
    <row r="251" spans="3:14" ht="15" customHeight="1">
      <c r="C251" s="3" t="s">
        <v>770</v>
      </c>
      <c r="D251" s="25">
        <v>45882</v>
      </c>
      <c r="E251" s="3" t="s">
        <v>41</v>
      </c>
      <c r="F251" s="3" t="s">
        <v>32</v>
      </c>
      <c r="G251" s="3" t="s">
        <v>15</v>
      </c>
      <c r="H251" s="3" t="s">
        <v>771</v>
      </c>
      <c r="I251" s="3" t="s">
        <v>772</v>
      </c>
      <c r="J251" s="3" t="s">
        <v>39</v>
      </c>
      <c r="K251" s="3">
        <v>1637.21</v>
      </c>
      <c r="L251" s="3">
        <v>3</v>
      </c>
      <c r="M251" s="3">
        <v>123.83</v>
      </c>
      <c r="N251" s="3">
        <v>0.19</v>
      </c>
    </row>
    <row r="252" spans="3:14" ht="15" customHeight="1">
      <c r="C252" s="3" t="s">
        <v>773</v>
      </c>
      <c r="D252" s="25">
        <v>45805</v>
      </c>
      <c r="E252" s="3" t="s">
        <v>41</v>
      </c>
      <c r="F252" s="3" t="s">
        <v>14</v>
      </c>
      <c r="G252" s="3" t="s">
        <v>15</v>
      </c>
      <c r="H252" s="3" t="s">
        <v>774</v>
      </c>
      <c r="I252" s="3" t="s">
        <v>775</v>
      </c>
      <c r="J252" s="3" t="s">
        <v>18</v>
      </c>
      <c r="K252" s="3">
        <v>370.23</v>
      </c>
      <c r="L252" s="3">
        <v>8</v>
      </c>
      <c r="M252" s="3">
        <v>87.81</v>
      </c>
      <c r="N252" s="3">
        <v>0.25</v>
      </c>
    </row>
    <row r="253" spans="3:14" ht="15" customHeight="1">
      <c r="C253" s="3" t="s">
        <v>776</v>
      </c>
      <c r="D253" s="25">
        <v>45956</v>
      </c>
      <c r="E253" s="3" t="s">
        <v>20</v>
      </c>
      <c r="F253" s="3" t="s">
        <v>21</v>
      </c>
      <c r="G253" s="3" t="s">
        <v>15</v>
      </c>
      <c r="H253" s="3" t="s">
        <v>777</v>
      </c>
      <c r="I253" s="3" t="s">
        <v>778</v>
      </c>
      <c r="J253" s="3" t="s">
        <v>39</v>
      </c>
      <c r="K253" s="3">
        <v>998.59</v>
      </c>
      <c r="L253" s="3">
        <v>10</v>
      </c>
      <c r="M253" s="3">
        <v>284.93</v>
      </c>
      <c r="N253" s="3">
        <v>0.19</v>
      </c>
    </row>
    <row r="254" spans="3:14" ht="15" customHeight="1">
      <c r="C254" s="3" t="s">
        <v>779</v>
      </c>
      <c r="D254" s="25">
        <v>45855</v>
      </c>
      <c r="E254" s="3" t="s">
        <v>13</v>
      </c>
      <c r="F254" s="3" t="s">
        <v>32</v>
      </c>
      <c r="G254" s="3" t="s">
        <v>15</v>
      </c>
      <c r="H254" s="3" t="s">
        <v>780</v>
      </c>
      <c r="I254" s="3" t="s">
        <v>781</v>
      </c>
      <c r="J254" s="3" t="s">
        <v>39</v>
      </c>
      <c r="K254" s="3">
        <v>649.97</v>
      </c>
      <c r="L254" s="3">
        <v>7</v>
      </c>
      <c r="M254" s="3">
        <v>221.33</v>
      </c>
      <c r="N254" s="3">
        <v>0.28000000000000003</v>
      </c>
    </row>
    <row r="255" spans="3:14" ht="15" customHeight="1">
      <c r="C255" s="3" t="s">
        <v>782</v>
      </c>
      <c r="D255" s="25">
        <v>45845</v>
      </c>
      <c r="E255" s="3" t="s">
        <v>28</v>
      </c>
      <c r="F255" s="3" t="s">
        <v>14</v>
      </c>
      <c r="G255" s="3" t="s">
        <v>15</v>
      </c>
      <c r="H255" s="3" t="s">
        <v>783</v>
      </c>
      <c r="I255" s="3" t="s">
        <v>784</v>
      </c>
      <c r="J255" s="3" t="s">
        <v>35</v>
      </c>
      <c r="K255" s="3">
        <v>1719.58</v>
      </c>
      <c r="L255" s="3">
        <v>6</v>
      </c>
      <c r="M255" s="3">
        <v>218.91</v>
      </c>
      <c r="N255" s="3">
        <v>0.15</v>
      </c>
    </row>
    <row r="256" spans="3:14" ht="15" customHeight="1">
      <c r="C256" s="3" t="s">
        <v>785</v>
      </c>
      <c r="D256" s="25">
        <v>45903</v>
      </c>
      <c r="E256" s="3" t="s">
        <v>41</v>
      </c>
      <c r="F256" s="3" t="s">
        <v>32</v>
      </c>
      <c r="G256" s="3" t="s">
        <v>15</v>
      </c>
      <c r="H256" s="3" t="s">
        <v>786</v>
      </c>
      <c r="I256" s="3" t="s">
        <v>787</v>
      </c>
      <c r="J256" s="3" t="s">
        <v>35</v>
      </c>
      <c r="K256" s="3">
        <v>1041.72</v>
      </c>
      <c r="L256" s="3">
        <v>8</v>
      </c>
      <c r="M256" s="3">
        <v>113.35</v>
      </c>
      <c r="N256" s="3">
        <v>0.19</v>
      </c>
    </row>
    <row r="257" spans="3:14" ht="15" customHeight="1">
      <c r="C257" s="3" t="s">
        <v>788</v>
      </c>
      <c r="D257" s="25">
        <v>45770</v>
      </c>
      <c r="E257" s="3" t="s">
        <v>20</v>
      </c>
      <c r="F257" s="3" t="s">
        <v>32</v>
      </c>
      <c r="G257" s="3" t="s">
        <v>15</v>
      </c>
      <c r="H257" s="3" t="s">
        <v>789</v>
      </c>
      <c r="I257" s="3" t="s">
        <v>790</v>
      </c>
      <c r="J257" s="3" t="s">
        <v>18</v>
      </c>
      <c r="K257" s="3">
        <v>245.46</v>
      </c>
      <c r="L257" s="3">
        <v>1</v>
      </c>
      <c r="M257" s="3">
        <v>85.34</v>
      </c>
      <c r="N257" s="3">
        <v>0.3</v>
      </c>
    </row>
    <row r="258" spans="3:14" ht="15" customHeight="1">
      <c r="C258" s="3" t="s">
        <v>791</v>
      </c>
      <c r="D258" s="25">
        <v>45885</v>
      </c>
      <c r="E258" s="3" t="s">
        <v>28</v>
      </c>
      <c r="F258" s="3" t="s">
        <v>14</v>
      </c>
      <c r="G258" s="3" t="s">
        <v>15</v>
      </c>
      <c r="H258" s="3" t="s">
        <v>792</v>
      </c>
      <c r="I258" s="3" t="s">
        <v>793</v>
      </c>
      <c r="J258" s="3" t="s">
        <v>35</v>
      </c>
      <c r="K258" s="3">
        <v>1428.86</v>
      </c>
      <c r="L258" s="3">
        <v>1</v>
      </c>
      <c r="M258" s="3">
        <v>348.86</v>
      </c>
      <c r="N258" s="3">
        <v>0.02</v>
      </c>
    </row>
    <row r="259" spans="3:14" ht="15" customHeight="1">
      <c r="C259" s="3" t="s">
        <v>794</v>
      </c>
      <c r="D259" s="25">
        <v>46015</v>
      </c>
      <c r="E259" s="3" t="s">
        <v>41</v>
      </c>
      <c r="F259" s="3" t="s">
        <v>21</v>
      </c>
      <c r="G259" s="3" t="s">
        <v>15</v>
      </c>
      <c r="H259" s="3" t="s">
        <v>795</v>
      </c>
      <c r="I259" s="3" t="s">
        <v>796</v>
      </c>
      <c r="J259" s="3" t="s">
        <v>39</v>
      </c>
      <c r="K259" s="3">
        <v>1743.12</v>
      </c>
      <c r="L259" s="3">
        <v>8</v>
      </c>
      <c r="M259" s="3">
        <v>108.73</v>
      </c>
      <c r="N259" s="3">
        <v>0.28000000000000003</v>
      </c>
    </row>
    <row r="260" spans="3:14" ht="15" customHeight="1">
      <c r="C260" s="3" t="s">
        <v>797</v>
      </c>
      <c r="D260" s="25">
        <v>45690</v>
      </c>
      <c r="E260" s="3" t="s">
        <v>20</v>
      </c>
      <c r="F260" s="3" t="s">
        <v>14</v>
      </c>
      <c r="G260" s="3" t="s">
        <v>15</v>
      </c>
      <c r="H260" s="3" t="s">
        <v>798</v>
      </c>
      <c r="I260" s="3" t="s">
        <v>799</v>
      </c>
      <c r="J260" s="3" t="s">
        <v>35</v>
      </c>
      <c r="K260" s="3">
        <v>805.06</v>
      </c>
      <c r="L260" s="3">
        <v>6</v>
      </c>
      <c r="M260" s="3">
        <v>202.78</v>
      </c>
      <c r="N260" s="3">
        <v>7.0000000000000007E-2</v>
      </c>
    </row>
    <row r="261" spans="3:14" ht="15" customHeight="1">
      <c r="C261" s="3" t="s">
        <v>800</v>
      </c>
      <c r="D261" s="25">
        <v>45984</v>
      </c>
      <c r="E261" s="3" t="s">
        <v>28</v>
      </c>
      <c r="F261" s="3" t="s">
        <v>32</v>
      </c>
      <c r="G261" s="3" t="s">
        <v>15</v>
      </c>
      <c r="H261" s="3" t="s">
        <v>801</v>
      </c>
      <c r="I261" s="3" t="s">
        <v>802</v>
      </c>
      <c r="J261" s="3" t="s">
        <v>35</v>
      </c>
      <c r="K261" s="3">
        <v>157.41999999999999</v>
      </c>
      <c r="L261" s="3">
        <v>9</v>
      </c>
      <c r="M261" s="3">
        <v>15.3</v>
      </c>
      <c r="N261" s="3">
        <v>0.03</v>
      </c>
    </row>
    <row r="262" spans="3:14" ht="15" customHeight="1">
      <c r="C262" s="3" t="s">
        <v>803</v>
      </c>
      <c r="D262" s="25">
        <v>45971</v>
      </c>
      <c r="E262" s="3" t="s">
        <v>28</v>
      </c>
      <c r="F262" s="3" t="s">
        <v>32</v>
      </c>
      <c r="G262" s="3" t="s">
        <v>15</v>
      </c>
      <c r="H262" s="3" t="s">
        <v>804</v>
      </c>
      <c r="I262" s="3" t="s">
        <v>805</v>
      </c>
      <c r="J262" s="3" t="s">
        <v>39</v>
      </c>
      <c r="K262" s="3">
        <v>1729.7</v>
      </c>
      <c r="L262" s="3">
        <v>3</v>
      </c>
      <c r="M262" s="3">
        <v>167.52</v>
      </c>
      <c r="N262" s="3">
        <v>0.27</v>
      </c>
    </row>
    <row r="263" spans="3:14" ht="15" customHeight="1">
      <c r="C263" s="3" t="s">
        <v>806</v>
      </c>
      <c r="D263" s="25">
        <v>45829</v>
      </c>
      <c r="E263" s="3" t="s">
        <v>13</v>
      </c>
      <c r="F263" s="3" t="s">
        <v>21</v>
      </c>
      <c r="G263" s="3" t="s">
        <v>15</v>
      </c>
      <c r="H263" s="3" t="s">
        <v>807</v>
      </c>
      <c r="I263" s="3" t="s">
        <v>808</v>
      </c>
      <c r="J263" s="3" t="s">
        <v>35</v>
      </c>
      <c r="K263" s="3">
        <v>754.44</v>
      </c>
      <c r="L263" s="3">
        <v>2</v>
      </c>
      <c r="M263" s="3">
        <v>181.51</v>
      </c>
      <c r="N263" s="3">
        <v>0.09</v>
      </c>
    </row>
    <row r="264" spans="3:14" ht="15" customHeight="1">
      <c r="C264" s="3" t="s">
        <v>809</v>
      </c>
      <c r="D264" s="25">
        <v>45835</v>
      </c>
      <c r="E264" s="3" t="s">
        <v>20</v>
      </c>
      <c r="F264" s="3" t="s">
        <v>21</v>
      </c>
      <c r="G264" s="3" t="s">
        <v>15</v>
      </c>
      <c r="H264" s="3" t="s">
        <v>810</v>
      </c>
      <c r="I264" s="3" t="s">
        <v>811</v>
      </c>
      <c r="J264" s="3" t="s">
        <v>18</v>
      </c>
      <c r="K264" s="3">
        <v>947.57</v>
      </c>
      <c r="L264" s="3">
        <v>2</v>
      </c>
      <c r="M264" s="3">
        <v>290.12</v>
      </c>
      <c r="N264" s="3">
        <v>0.2</v>
      </c>
    </row>
    <row r="265" spans="3:14" ht="15" customHeight="1">
      <c r="C265" s="3" t="s">
        <v>812</v>
      </c>
      <c r="D265" s="25">
        <v>45676</v>
      </c>
      <c r="E265" s="3" t="s">
        <v>13</v>
      </c>
      <c r="F265" s="3" t="s">
        <v>21</v>
      </c>
      <c r="G265" s="3" t="s">
        <v>15</v>
      </c>
      <c r="H265" s="3" t="s">
        <v>813</v>
      </c>
      <c r="I265" s="3" t="s">
        <v>814</v>
      </c>
      <c r="J265" s="3" t="s">
        <v>35</v>
      </c>
      <c r="K265" s="3">
        <v>119.24</v>
      </c>
      <c r="L265" s="3">
        <v>7</v>
      </c>
      <c r="M265" s="3">
        <v>38.68</v>
      </c>
      <c r="N265" s="3">
        <v>0.25</v>
      </c>
    </row>
    <row r="266" spans="3:14" ht="15" customHeight="1">
      <c r="C266" s="3" t="s">
        <v>815</v>
      </c>
      <c r="D266" s="25">
        <v>45796</v>
      </c>
      <c r="E266" s="3" t="s">
        <v>20</v>
      </c>
      <c r="F266" s="3" t="s">
        <v>14</v>
      </c>
      <c r="G266" s="3" t="s">
        <v>15</v>
      </c>
      <c r="H266" s="3" t="s">
        <v>816</v>
      </c>
      <c r="I266" s="3" t="s">
        <v>817</v>
      </c>
      <c r="J266" s="3" t="s">
        <v>18</v>
      </c>
      <c r="K266" s="3">
        <v>1388</v>
      </c>
      <c r="L266" s="3">
        <v>10</v>
      </c>
      <c r="M266" s="3">
        <v>176.2</v>
      </c>
      <c r="N266" s="3">
        <v>0.14000000000000001</v>
      </c>
    </row>
    <row r="267" spans="3:14" ht="15" customHeight="1">
      <c r="C267" s="3" t="s">
        <v>818</v>
      </c>
      <c r="D267" s="25">
        <v>45662</v>
      </c>
      <c r="E267" s="3" t="s">
        <v>41</v>
      </c>
      <c r="F267" s="3" t="s">
        <v>21</v>
      </c>
      <c r="G267" s="3" t="s">
        <v>15</v>
      </c>
      <c r="H267" s="3" t="s">
        <v>819</v>
      </c>
      <c r="I267" s="3" t="s">
        <v>820</v>
      </c>
      <c r="J267" s="3" t="s">
        <v>39</v>
      </c>
      <c r="K267" s="3">
        <v>977.09</v>
      </c>
      <c r="L267" s="3">
        <v>5</v>
      </c>
      <c r="M267" s="3">
        <v>85.93</v>
      </c>
      <c r="N267" s="3">
        <v>0.11</v>
      </c>
    </row>
    <row r="268" spans="3:14" ht="15" customHeight="1">
      <c r="C268" s="3" t="s">
        <v>821</v>
      </c>
      <c r="D268" s="25">
        <v>45671</v>
      </c>
      <c r="E268" s="3" t="s">
        <v>28</v>
      </c>
      <c r="F268" s="3" t="s">
        <v>14</v>
      </c>
      <c r="G268" s="3" t="s">
        <v>15</v>
      </c>
      <c r="H268" s="3" t="s">
        <v>822</v>
      </c>
      <c r="I268" s="3" t="s">
        <v>823</v>
      </c>
      <c r="J268" s="3" t="s">
        <v>35</v>
      </c>
      <c r="K268" s="3">
        <v>143.51</v>
      </c>
      <c r="L268" s="3">
        <v>9</v>
      </c>
      <c r="M268" s="3">
        <v>22.28</v>
      </c>
      <c r="N268" s="3">
        <v>0.1</v>
      </c>
    </row>
    <row r="269" spans="3:14" ht="15" customHeight="1">
      <c r="C269" s="3" t="s">
        <v>824</v>
      </c>
      <c r="D269" s="25">
        <v>45780</v>
      </c>
      <c r="E269" s="3" t="s">
        <v>41</v>
      </c>
      <c r="F269" s="3" t="s">
        <v>14</v>
      </c>
      <c r="G269" s="3" t="s">
        <v>15</v>
      </c>
      <c r="H269" s="3" t="s">
        <v>825</v>
      </c>
      <c r="I269" s="3" t="s">
        <v>826</v>
      </c>
      <c r="J269" s="3" t="s">
        <v>18</v>
      </c>
      <c r="K269" s="3">
        <v>159.16</v>
      </c>
      <c r="L269" s="3">
        <v>4</v>
      </c>
      <c r="M269" s="3">
        <v>46.44</v>
      </c>
      <c r="N269" s="3">
        <v>0.27</v>
      </c>
    </row>
    <row r="270" spans="3:14" ht="15" customHeight="1">
      <c r="C270" s="3" t="s">
        <v>827</v>
      </c>
      <c r="D270" s="25">
        <v>45810</v>
      </c>
      <c r="E270" s="3" t="s">
        <v>13</v>
      </c>
      <c r="F270" s="3" t="s">
        <v>21</v>
      </c>
      <c r="G270" s="3" t="s">
        <v>15</v>
      </c>
      <c r="H270" s="3" t="s">
        <v>828</v>
      </c>
      <c r="I270" s="3" t="s">
        <v>829</v>
      </c>
      <c r="J270" s="3" t="s">
        <v>18</v>
      </c>
      <c r="K270" s="3">
        <v>1103.1500000000001</v>
      </c>
      <c r="L270" s="3">
        <v>3</v>
      </c>
      <c r="M270" s="3">
        <v>136.11000000000001</v>
      </c>
      <c r="N270" s="3">
        <v>0.11</v>
      </c>
    </row>
    <row r="271" spans="3:14" ht="15" customHeight="1">
      <c r="C271" s="3" t="s">
        <v>830</v>
      </c>
      <c r="D271" s="25">
        <v>45831</v>
      </c>
      <c r="E271" s="3" t="s">
        <v>28</v>
      </c>
      <c r="F271" s="3" t="s">
        <v>32</v>
      </c>
      <c r="G271" s="3" t="s">
        <v>15</v>
      </c>
      <c r="H271" s="3" t="s">
        <v>831</v>
      </c>
      <c r="I271" s="3" t="s">
        <v>832</v>
      </c>
      <c r="J271" s="3" t="s">
        <v>39</v>
      </c>
      <c r="K271" s="3">
        <v>1125.6500000000001</v>
      </c>
      <c r="L271" s="3">
        <v>4</v>
      </c>
      <c r="M271" s="3">
        <v>316.87</v>
      </c>
      <c r="N271" s="3">
        <v>0.24</v>
      </c>
    </row>
    <row r="272" spans="3:14" ht="15" customHeight="1">
      <c r="C272" s="3" t="s">
        <v>833</v>
      </c>
      <c r="D272" s="25">
        <v>45927</v>
      </c>
      <c r="E272" s="3" t="s">
        <v>13</v>
      </c>
      <c r="F272" s="3" t="s">
        <v>14</v>
      </c>
      <c r="G272" s="3" t="s">
        <v>15</v>
      </c>
      <c r="H272" s="3" t="s">
        <v>834</v>
      </c>
      <c r="I272" s="3" t="s">
        <v>835</v>
      </c>
      <c r="J272" s="3" t="s">
        <v>39</v>
      </c>
      <c r="K272" s="3">
        <v>1582.69</v>
      </c>
      <c r="L272" s="3">
        <v>6</v>
      </c>
      <c r="M272" s="3">
        <v>129.41999999999999</v>
      </c>
      <c r="N272" s="3">
        <v>0</v>
      </c>
    </row>
    <row r="273" spans="3:14" ht="15" customHeight="1">
      <c r="C273" s="3" t="s">
        <v>836</v>
      </c>
      <c r="D273" s="25">
        <v>46010</v>
      </c>
      <c r="E273" s="3" t="s">
        <v>41</v>
      </c>
      <c r="F273" s="3" t="s">
        <v>32</v>
      </c>
      <c r="G273" s="3" t="s">
        <v>15</v>
      </c>
      <c r="H273" s="3" t="s">
        <v>837</v>
      </c>
      <c r="I273" s="3" t="s">
        <v>838</v>
      </c>
      <c r="J273" s="3" t="s">
        <v>39</v>
      </c>
      <c r="K273" s="3">
        <v>1536.31</v>
      </c>
      <c r="L273" s="3">
        <v>7</v>
      </c>
      <c r="M273" s="3">
        <v>538.41999999999996</v>
      </c>
      <c r="N273" s="3">
        <v>0.27</v>
      </c>
    </row>
    <row r="274" spans="3:14" ht="15" customHeight="1">
      <c r="C274" s="3" t="s">
        <v>839</v>
      </c>
      <c r="D274" s="25">
        <v>45829</v>
      </c>
      <c r="E274" s="3" t="s">
        <v>28</v>
      </c>
      <c r="F274" s="3" t="s">
        <v>32</v>
      </c>
      <c r="G274" s="3" t="s">
        <v>15</v>
      </c>
      <c r="H274" s="3" t="s">
        <v>840</v>
      </c>
      <c r="I274" s="3" t="s">
        <v>841</v>
      </c>
      <c r="J274" s="3" t="s">
        <v>18</v>
      </c>
      <c r="K274" s="3">
        <v>516.5</v>
      </c>
      <c r="L274" s="3">
        <v>5</v>
      </c>
      <c r="M274" s="3">
        <v>137.47999999999999</v>
      </c>
      <c r="N274" s="3">
        <v>0.23</v>
      </c>
    </row>
    <row r="275" spans="3:14" ht="15" customHeight="1">
      <c r="C275" s="3" t="s">
        <v>842</v>
      </c>
      <c r="D275" s="25">
        <v>45758</v>
      </c>
      <c r="E275" s="3" t="s">
        <v>28</v>
      </c>
      <c r="F275" s="3" t="s">
        <v>32</v>
      </c>
      <c r="G275" s="3" t="s">
        <v>15</v>
      </c>
      <c r="H275" s="3" t="s">
        <v>843</v>
      </c>
      <c r="I275" s="3" t="s">
        <v>844</v>
      </c>
      <c r="J275" s="3" t="s">
        <v>35</v>
      </c>
      <c r="K275" s="3">
        <v>1027.95</v>
      </c>
      <c r="L275" s="3">
        <v>4</v>
      </c>
      <c r="M275" s="3">
        <v>304.58999999999997</v>
      </c>
      <c r="N275" s="3">
        <v>0.1</v>
      </c>
    </row>
    <row r="276" spans="3:14" ht="15" customHeight="1">
      <c r="C276" s="3" t="s">
        <v>845</v>
      </c>
      <c r="D276" s="25">
        <v>46005</v>
      </c>
      <c r="E276" s="3" t="s">
        <v>13</v>
      </c>
      <c r="F276" s="3" t="s">
        <v>21</v>
      </c>
      <c r="G276" s="3" t="s">
        <v>15</v>
      </c>
      <c r="H276" s="3" t="s">
        <v>846</v>
      </c>
      <c r="I276" s="3" t="s">
        <v>847</v>
      </c>
      <c r="J276" s="3" t="s">
        <v>35</v>
      </c>
      <c r="K276" s="3">
        <v>1720.18</v>
      </c>
      <c r="L276" s="3">
        <v>6</v>
      </c>
      <c r="M276" s="3">
        <v>316.95999999999998</v>
      </c>
      <c r="N276" s="3">
        <v>0.26</v>
      </c>
    </row>
    <row r="277" spans="3:14" ht="15" customHeight="1">
      <c r="C277" s="3" t="s">
        <v>848</v>
      </c>
      <c r="D277" s="25">
        <v>45895</v>
      </c>
      <c r="E277" s="3" t="s">
        <v>28</v>
      </c>
      <c r="F277" s="3" t="s">
        <v>14</v>
      </c>
      <c r="G277" s="3" t="s">
        <v>15</v>
      </c>
      <c r="H277" s="3" t="s">
        <v>849</v>
      </c>
      <c r="I277" s="3" t="s">
        <v>850</v>
      </c>
      <c r="J277" s="3" t="s">
        <v>18</v>
      </c>
      <c r="K277" s="3">
        <v>788.54</v>
      </c>
      <c r="L277" s="3">
        <v>7</v>
      </c>
      <c r="M277" s="3">
        <v>281.13</v>
      </c>
      <c r="N277" s="3">
        <v>0.21</v>
      </c>
    </row>
    <row r="278" spans="3:14" ht="15" customHeight="1">
      <c r="C278" s="3" t="s">
        <v>851</v>
      </c>
      <c r="D278" s="25">
        <v>45718</v>
      </c>
      <c r="E278" s="3" t="s">
        <v>13</v>
      </c>
      <c r="F278" s="3" t="s">
        <v>21</v>
      </c>
      <c r="G278" s="3" t="s">
        <v>15</v>
      </c>
      <c r="H278" s="3" t="s">
        <v>852</v>
      </c>
      <c r="I278" s="3" t="s">
        <v>853</v>
      </c>
      <c r="J278" s="3" t="s">
        <v>35</v>
      </c>
      <c r="K278" s="3">
        <v>824.11</v>
      </c>
      <c r="L278" s="3">
        <v>3</v>
      </c>
      <c r="M278" s="3">
        <v>145.34</v>
      </c>
      <c r="N278" s="3">
        <v>0.06</v>
      </c>
    </row>
    <row r="279" spans="3:14" ht="15" customHeight="1">
      <c r="C279" s="3" t="s">
        <v>854</v>
      </c>
      <c r="D279" s="25">
        <v>45668</v>
      </c>
      <c r="E279" s="3" t="s">
        <v>13</v>
      </c>
      <c r="F279" s="3" t="s">
        <v>21</v>
      </c>
      <c r="G279" s="3" t="s">
        <v>15</v>
      </c>
      <c r="H279" s="3" t="s">
        <v>855</v>
      </c>
      <c r="I279" s="3" t="s">
        <v>856</v>
      </c>
      <c r="J279" s="3" t="s">
        <v>39</v>
      </c>
      <c r="K279" s="3">
        <v>1473.99</v>
      </c>
      <c r="L279" s="3">
        <v>2</v>
      </c>
      <c r="M279" s="3">
        <v>105.48</v>
      </c>
      <c r="N279" s="3">
        <v>0.18</v>
      </c>
    </row>
    <row r="280" spans="3:14" ht="15" customHeight="1">
      <c r="C280" s="3" t="s">
        <v>857</v>
      </c>
      <c r="D280" s="25">
        <v>45794</v>
      </c>
      <c r="E280" s="3" t="s">
        <v>28</v>
      </c>
      <c r="F280" s="3" t="s">
        <v>21</v>
      </c>
      <c r="G280" s="3" t="s">
        <v>15</v>
      </c>
      <c r="H280" s="3" t="s">
        <v>858</v>
      </c>
      <c r="I280" s="3" t="s">
        <v>859</v>
      </c>
      <c r="J280" s="3" t="s">
        <v>18</v>
      </c>
      <c r="K280" s="3">
        <v>1968.45</v>
      </c>
      <c r="L280" s="3">
        <v>7</v>
      </c>
      <c r="M280" s="3">
        <v>672.5</v>
      </c>
      <c r="N280" s="3">
        <v>0.1</v>
      </c>
    </row>
    <row r="281" spans="3:14" ht="15" customHeight="1">
      <c r="C281" s="3" t="s">
        <v>860</v>
      </c>
      <c r="D281" s="25">
        <v>45724</v>
      </c>
      <c r="E281" s="3" t="s">
        <v>28</v>
      </c>
      <c r="F281" s="3" t="s">
        <v>14</v>
      </c>
      <c r="G281" s="3" t="s">
        <v>15</v>
      </c>
      <c r="H281" s="3" t="s">
        <v>861</v>
      </c>
      <c r="I281" s="3" t="s">
        <v>862</v>
      </c>
      <c r="J281" s="3" t="s">
        <v>39</v>
      </c>
      <c r="K281" s="3">
        <v>1389.35</v>
      </c>
      <c r="L281" s="3">
        <v>1</v>
      </c>
      <c r="M281" s="3">
        <v>206.26</v>
      </c>
      <c r="N281" s="3">
        <v>0.23</v>
      </c>
    </row>
    <row r="282" spans="3:14" ht="15" customHeight="1">
      <c r="C282" s="3" t="s">
        <v>863</v>
      </c>
      <c r="D282" s="25">
        <v>45749</v>
      </c>
      <c r="E282" s="3" t="s">
        <v>28</v>
      </c>
      <c r="F282" s="3" t="s">
        <v>14</v>
      </c>
      <c r="G282" s="3" t="s">
        <v>15</v>
      </c>
      <c r="H282" s="3" t="s">
        <v>864</v>
      </c>
      <c r="I282" s="3" t="s">
        <v>865</v>
      </c>
      <c r="J282" s="3" t="s">
        <v>18</v>
      </c>
      <c r="K282" s="3">
        <v>1295.51</v>
      </c>
      <c r="L282" s="3">
        <v>8</v>
      </c>
      <c r="M282" s="3">
        <v>102.56</v>
      </c>
      <c r="N282" s="3">
        <v>0.06</v>
      </c>
    </row>
    <row r="283" spans="3:14" ht="15" customHeight="1">
      <c r="C283" s="3" t="s">
        <v>866</v>
      </c>
      <c r="D283" s="25">
        <v>45720</v>
      </c>
      <c r="E283" s="3" t="s">
        <v>41</v>
      </c>
      <c r="F283" s="3" t="s">
        <v>32</v>
      </c>
      <c r="G283" s="3" t="s">
        <v>15</v>
      </c>
      <c r="H283" s="3" t="s">
        <v>867</v>
      </c>
      <c r="I283" s="3" t="s">
        <v>868</v>
      </c>
      <c r="J283" s="3" t="s">
        <v>35</v>
      </c>
      <c r="K283" s="3">
        <v>983.68</v>
      </c>
      <c r="L283" s="3">
        <v>6</v>
      </c>
      <c r="M283" s="3">
        <v>60.81</v>
      </c>
      <c r="N283" s="3">
        <v>0.26</v>
      </c>
    </row>
    <row r="284" spans="3:14" ht="15" customHeight="1">
      <c r="C284" s="3" t="s">
        <v>869</v>
      </c>
      <c r="D284" s="25">
        <v>45861</v>
      </c>
      <c r="E284" s="3" t="s">
        <v>28</v>
      </c>
      <c r="F284" s="3" t="s">
        <v>14</v>
      </c>
      <c r="G284" s="3" t="s">
        <v>15</v>
      </c>
      <c r="H284" s="3" t="s">
        <v>870</v>
      </c>
      <c r="I284" s="3" t="s">
        <v>871</v>
      </c>
      <c r="J284" s="3" t="s">
        <v>39</v>
      </c>
      <c r="K284" s="3">
        <v>1144.33</v>
      </c>
      <c r="L284" s="3">
        <v>7</v>
      </c>
      <c r="M284" s="3">
        <v>288.48</v>
      </c>
      <c r="N284" s="3">
        <v>0.05</v>
      </c>
    </row>
    <row r="285" spans="3:14" ht="15" customHeight="1">
      <c r="C285" s="3" t="s">
        <v>872</v>
      </c>
      <c r="D285" s="25">
        <v>45728</v>
      </c>
      <c r="E285" s="3" t="s">
        <v>13</v>
      </c>
      <c r="F285" s="3" t="s">
        <v>14</v>
      </c>
      <c r="G285" s="3" t="s">
        <v>15</v>
      </c>
      <c r="H285" s="3" t="s">
        <v>873</v>
      </c>
      <c r="I285" s="3" t="s">
        <v>874</v>
      </c>
      <c r="J285" s="3" t="s">
        <v>39</v>
      </c>
      <c r="K285" s="3">
        <v>1186.7</v>
      </c>
      <c r="L285" s="3">
        <v>1</v>
      </c>
      <c r="M285" s="3">
        <v>287.36</v>
      </c>
      <c r="N285" s="3">
        <v>0.26</v>
      </c>
    </row>
    <row r="286" spans="3:14" ht="15" customHeight="1">
      <c r="C286" s="3" t="s">
        <v>875</v>
      </c>
      <c r="D286" s="25">
        <v>45821</v>
      </c>
      <c r="E286" s="3" t="s">
        <v>13</v>
      </c>
      <c r="F286" s="3" t="s">
        <v>21</v>
      </c>
      <c r="G286" s="3" t="s">
        <v>15</v>
      </c>
      <c r="H286" s="3" t="s">
        <v>876</v>
      </c>
      <c r="I286" s="3" t="s">
        <v>877</v>
      </c>
      <c r="J286" s="3" t="s">
        <v>18</v>
      </c>
      <c r="K286" s="3">
        <v>1109.45</v>
      </c>
      <c r="L286" s="3">
        <v>1</v>
      </c>
      <c r="M286" s="3">
        <v>240.09</v>
      </c>
      <c r="N286" s="3">
        <v>0.16</v>
      </c>
    </row>
    <row r="287" spans="3:14" ht="15" customHeight="1">
      <c r="C287" s="3" t="s">
        <v>878</v>
      </c>
      <c r="D287" s="25">
        <v>45784</v>
      </c>
      <c r="E287" s="3" t="s">
        <v>28</v>
      </c>
      <c r="F287" s="3" t="s">
        <v>14</v>
      </c>
      <c r="G287" s="3" t="s">
        <v>15</v>
      </c>
      <c r="H287" s="3" t="s">
        <v>879</v>
      </c>
      <c r="I287" s="3" t="s">
        <v>880</v>
      </c>
      <c r="J287" s="3" t="s">
        <v>35</v>
      </c>
      <c r="K287" s="3">
        <v>1372.15</v>
      </c>
      <c r="L287" s="3">
        <v>2</v>
      </c>
      <c r="M287" s="3">
        <v>284.16000000000003</v>
      </c>
      <c r="N287" s="3">
        <v>0.14000000000000001</v>
      </c>
    </row>
    <row r="288" spans="3:14" ht="15" customHeight="1">
      <c r="C288" s="3" t="s">
        <v>881</v>
      </c>
      <c r="D288" s="25">
        <v>45818</v>
      </c>
      <c r="E288" s="3" t="s">
        <v>41</v>
      </c>
      <c r="F288" s="3" t="s">
        <v>32</v>
      </c>
      <c r="G288" s="3" t="s">
        <v>15</v>
      </c>
      <c r="H288" s="3" t="s">
        <v>882</v>
      </c>
      <c r="I288" s="3" t="s">
        <v>883</v>
      </c>
      <c r="J288" s="3" t="s">
        <v>35</v>
      </c>
      <c r="K288" s="3">
        <v>1005.32</v>
      </c>
      <c r="L288" s="3">
        <v>1</v>
      </c>
      <c r="M288" s="3">
        <v>78.790000000000006</v>
      </c>
      <c r="N288" s="3">
        <v>0.25</v>
      </c>
    </row>
    <row r="289" spans="3:14" ht="15" customHeight="1">
      <c r="C289" s="3" t="s">
        <v>884</v>
      </c>
      <c r="D289" s="25">
        <v>45881</v>
      </c>
      <c r="E289" s="3" t="s">
        <v>13</v>
      </c>
      <c r="F289" s="3" t="s">
        <v>14</v>
      </c>
      <c r="G289" s="3" t="s">
        <v>15</v>
      </c>
      <c r="H289" s="3" t="s">
        <v>885</v>
      </c>
      <c r="I289" s="3" t="s">
        <v>886</v>
      </c>
      <c r="J289" s="3" t="s">
        <v>35</v>
      </c>
      <c r="K289" s="3">
        <v>640.55999999999995</v>
      </c>
      <c r="L289" s="3">
        <v>9</v>
      </c>
      <c r="M289" s="3">
        <v>137.06</v>
      </c>
      <c r="N289" s="3">
        <v>0.04</v>
      </c>
    </row>
    <row r="290" spans="3:14" ht="15" customHeight="1">
      <c r="C290" s="3" t="s">
        <v>887</v>
      </c>
      <c r="D290" s="25">
        <v>45704</v>
      </c>
      <c r="E290" s="3" t="s">
        <v>28</v>
      </c>
      <c r="F290" s="3" t="s">
        <v>14</v>
      </c>
      <c r="G290" s="3" t="s">
        <v>15</v>
      </c>
      <c r="H290" s="3" t="s">
        <v>888</v>
      </c>
      <c r="I290" s="3" t="s">
        <v>889</v>
      </c>
      <c r="J290" s="3" t="s">
        <v>39</v>
      </c>
      <c r="K290" s="3">
        <v>489.75</v>
      </c>
      <c r="L290" s="3">
        <v>7</v>
      </c>
      <c r="M290" s="3">
        <v>186.92</v>
      </c>
      <c r="N290" s="3">
        <v>0.16</v>
      </c>
    </row>
    <row r="291" spans="3:14" ht="15" customHeight="1">
      <c r="C291" s="3" t="s">
        <v>890</v>
      </c>
      <c r="D291" s="25">
        <v>45993</v>
      </c>
      <c r="E291" s="3" t="s">
        <v>13</v>
      </c>
      <c r="F291" s="3" t="s">
        <v>21</v>
      </c>
      <c r="G291" s="3" t="s">
        <v>15</v>
      </c>
      <c r="H291" s="3" t="s">
        <v>891</v>
      </c>
      <c r="I291" s="3" t="s">
        <v>892</v>
      </c>
      <c r="J291" s="3" t="s">
        <v>35</v>
      </c>
      <c r="K291" s="3">
        <v>1257.17</v>
      </c>
      <c r="L291" s="3">
        <v>4</v>
      </c>
      <c r="M291" s="3">
        <v>146.94999999999999</v>
      </c>
      <c r="N291" s="3">
        <v>0.2</v>
      </c>
    </row>
    <row r="292" spans="3:14" ht="15" customHeight="1">
      <c r="C292" s="3" t="s">
        <v>893</v>
      </c>
      <c r="D292" s="25">
        <v>45799</v>
      </c>
      <c r="E292" s="3" t="s">
        <v>20</v>
      </c>
      <c r="F292" s="3" t="s">
        <v>14</v>
      </c>
      <c r="G292" s="3" t="s">
        <v>15</v>
      </c>
      <c r="H292" s="3" t="s">
        <v>894</v>
      </c>
      <c r="I292" s="3" t="s">
        <v>895</v>
      </c>
      <c r="J292" s="3" t="s">
        <v>35</v>
      </c>
      <c r="K292" s="3">
        <v>837.96</v>
      </c>
      <c r="L292" s="3">
        <v>6</v>
      </c>
      <c r="M292" s="3">
        <v>233.62</v>
      </c>
      <c r="N292" s="3">
        <v>0.19</v>
      </c>
    </row>
    <row r="293" spans="3:14" ht="15" customHeight="1">
      <c r="C293" s="3" t="s">
        <v>896</v>
      </c>
      <c r="D293" s="25">
        <v>45828</v>
      </c>
      <c r="E293" s="3" t="s">
        <v>20</v>
      </c>
      <c r="F293" s="3" t="s">
        <v>21</v>
      </c>
      <c r="G293" s="3" t="s">
        <v>15</v>
      </c>
      <c r="H293" s="3" t="s">
        <v>897</v>
      </c>
      <c r="I293" s="3" t="s">
        <v>898</v>
      </c>
      <c r="J293" s="3" t="s">
        <v>35</v>
      </c>
      <c r="K293" s="3">
        <v>860.7</v>
      </c>
      <c r="L293" s="3">
        <v>1</v>
      </c>
      <c r="M293" s="3">
        <v>162.71</v>
      </c>
      <c r="N293" s="3">
        <v>0.04</v>
      </c>
    </row>
    <row r="294" spans="3:14" ht="15" customHeight="1">
      <c r="C294" s="3" t="s">
        <v>899</v>
      </c>
      <c r="D294" s="25">
        <v>45832</v>
      </c>
      <c r="E294" s="3" t="s">
        <v>13</v>
      </c>
      <c r="F294" s="3" t="s">
        <v>32</v>
      </c>
      <c r="G294" s="3" t="s">
        <v>15</v>
      </c>
      <c r="H294" s="3" t="s">
        <v>900</v>
      </c>
      <c r="I294" s="3" t="s">
        <v>901</v>
      </c>
      <c r="J294" s="3" t="s">
        <v>18</v>
      </c>
      <c r="K294" s="3">
        <v>441.54</v>
      </c>
      <c r="L294" s="3">
        <v>8</v>
      </c>
      <c r="M294" s="3">
        <v>76.69</v>
      </c>
      <c r="N294" s="3">
        <v>0.25</v>
      </c>
    </row>
    <row r="295" spans="3:14" ht="15" customHeight="1">
      <c r="C295" s="3" t="s">
        <v>902</v>
      </c>
      <c r="D295" s="25">
        <v>45895</v>
      </c>
      <c r="E295" s="3" t="s">
        <v>20</v>
      </c>
      <c r="F295" s="3" t="s">
        <v>32</v>
      </c>
      <c r="G295" s="3" t="s">
        <v>15</v>
      </c>
      <c r="H295" s="3" t="s">
        <v>903</v>
      </c>
      <c r="I295" s="3" t="s">
        <v>904</v>
      </c>
      <c r="J295" s="3" t="s">
        <v>18</v>
      </c>
      <c r="K295" s="3">
        <v>1813.17</v>
      </c>
      <c r="L295" s="3">
        <v>7</v>
      </c>
      <c r="M295" s="3">
        <v>579.05999999999995</v>
      </c>
      <c r="N295" s="3">
        <v>0.05</v>
      </c>
    </row>
    <row r="296" spans="3:14" ht="15" customHeight="1">
      <c r="C296" s="3" t="s">
        <v>905</v>
      </c>
      <c r="D296" s="25">
        <v>45736</v>
      </c>
      <c r="E296" s="3" t="s">
        <v>41</v>
      </c>
      <c r="F296" s="3" t="s">
        <v>21</v>
      </c>
      <c r="G296" s="3" t="s">
        <v>15</v>
      </c>
      <c r="H296" s="3" t="s">
        <v>906</v>
      </c>
      <c r="I296" s="3" t="s">
        <v>907</v>
      </c>
      <c r="J296" s="3" t="s">
        <v>39</v>
      </c>
      <c r="K296" s="3">
        <v>576.21</v>
      </c>
      <c r="L296" s="3">
        <v>6</v>
      </c>
      <c r="M296" s="3">
        <v>188.76</v>
      </c>
      <c r="N296" s="3">
        <v>0.16</v>
      </c>
    </row>
    <row r="297" spans="3:14" ht="15" customHeight="1">
      <c r="C297" s="3" t="s">
        <v>908</v>
      </c>
      <c r="D297" s="25">
        <v>46018</v>
      </c>
      <c r="E297" s="3" t="s">
        <v>20</v>
      </c>
      <c r="F297" s="3" t="s">
        <v>32</v>
      </c>
      <c r="G297" s="3" t="s">
        <v>15</v>
      </c>
      <c r="H297" s="3" t="s">
        <v>909</v>
      </c>
      <c r="I297" s="3" t="s">
        <v>910</v>
      </c>
      <c r="J297" s="3" t="s">
        <v>39</v>
      </c>
      <c r="K297" s="3">
        <v>1849.88</v>
      </c>
      <c r="L297" s="3">
        <v>2</v>
      </c>
      <c r="M297" s="3">
        <v>599.6</v>
      </c>
      <c r="N297" s="3">
        <v>0.14000000000000001</v>
      </c>
    </row>
    <row r="298" spans="3:14" ht="15" customHeight="1">
      <c r="C298" s="3" t="s">
        <v>911</v>
      </c>
      <c r="D298" s="25">
        <v>45904</v>
      </c>
      <c r="E298" s="3" t="s">
        <v>20</v>
      </c>
      <c r="F298" s="3" t="s">
        <v>32</v>
      </c>
      <c r="G298" s="3" t="s">
        <v>15</v>
      </c>
      <c r="H298" s="3" t="s">
        <v>912</v>
      </c>
      <c r="I298" s="3" t="s">
        <v>913</v>
      </c>
      <c r="J298" s="3" t="s">
        <v>39</v>
      </c>
      <c r="K298" s="3">
        <v>1076.32</v>
      </c>
      <c r="L298" s="3">
        <v>1</v>
      </c>
      <c r="M298" s="3">
        <v>186.72</v>
      </c>
      <c r="N298" s="3">
        <v>0.12</v>
      </c>
    </row>
    <row r="299" spans="3:14" ht="15" customHeight="1">
      <c r="C299" s="3" t="s">
        <v>914</v>
      </c>
      <c r="D299" s="25">
        <v>45888</v>
      </c>
      <c r="E299" s="3" t="s">
        <v>41</v>
      </c>
      <c r="F299" s="3" t="s">
        <v>21</v>
      </c>
      <c r="G299" s="3" t="s">
        <v>15</v>
      </c>
      <c r="H299" s="3" t="s">
        <v>915</v>
      </c>
      <c r="I299" s="3" t="s">
        <v>916</v>
      </c>
      <c r="J299" s="3" t="s">
        <v>39</v>
      </c>
      <c r="K299" s="3">
        <v>550.77</v>
      </c>
      <c r="L299" s="3">
        <v>2</v>
      </c>
      <c r="M299" s="3">
        <v>116.99</v>
      </c>
      <c r="N299" s="3">
        <v>0.23</v>
      </c>
    </row>
    <row r="300" spans="3:14" ht="15" customHeight="1">
      <c r="C300" s="3" t="s">
        <v>917</v>
      </c>
      <c r="D300" s="25">
        <v>45682</v>
      </c>
      <c r="E300" s="3" t="s">
        <v>13</v>
      </c>
      <c r="F300" s="3" t="s">
        <v>32</v>
      </c>
      <c r="G300" s="3" t="s">
        <v>15</v>
      </c>
      <c r="H300" s="3" t="s">
        <v>918</v>
      </c>
      <c r="I300" s="3" t="s">
        <v>919</v>
      </c>
      <c r="J300" s="3" t="s">
        <v>35</v>
      </c>
      <c r="K300" s="3">
        <v>1224.26</v>
      </c>
      <c r="L300" s="3">
        <v>4</v>
      </c>
      <c r="M300" s="3">
        <v>237.68</v>
      </c>
      <c r="N300" s="3">
        <v>0.17</v>
      </c>
    </row>
    <row r="301" spans="3:14" ht="15" customHeight="1">
      <c r="C301" s="3" t="s">
        <v>920</v>
      </c>
      <c r="D301" s="25">
        <v>45740</v>
      </c>
      <c r="E301" s="3" t="s">
        <v>13</v>
      </c>
      <c r="F301" s="3" t="s">
        <v>32</v>
      </c>
      <c r="G301" s="3" t="s">
        <v>15</v>
      </c>
      <c r="H301" s="3" t="s">
        <v>921</v>
      </c>
      <c r="I301" s="3" t="s">
        <v>922</v>
      </c>
      <c r="J301" s="3" t="s">
        <v>35</v>
      </c>
      <c r="K301" s="3">
        <v>746.88</v>
      </c>
      <c r="L301" s="3">
        <v>2</v>
      </c>
      <c r="M301" s="3">
        <v>278.83999999999997</v>
      </c>
      <c r="N301" s="3">
        <v>0.18</v>
      </c>
    </row>
    <row r="302" spans="3:14" ht="15" customHeight="1">
      <c r="C302" s="3" t="s">
        <v>923</v>
      </c>
      <c r="D302" s="25">
        <v>46010</v>
      </c>
      <c r="E302" s="3" t="s">
        <v>41</v>
      </c>
      <c r="F302" s="3" t="s">
        <v>14</v>
      </c>
      <c r="G302" s="3" t="s">
        <v>15</v>
      </c>
      <c r="H302" s="3" t="s">
        <v>924</v>
      </c>
      <c r="I302" s="3" t="s">
        <v>925</v>
      </c>
      <c r="J302" s="3" t="s">
        <v>39</v>
      </c>
      <c r="K302" s="3">
        <v>1987.93</v>
      </c>
      <c r="L302" s="3">
        <v>8</v>
      </c>
      <c r="M302" s="3">
        <v>627.9</v>
      </c>
      <c r="N302" s="3">
        <v>0.03</v>
      </c>
    </row>
    <row r="303" spans="3:14" ht="15" customHeight="1">
      <c r="C303" s="3" t="s">
        <v>926</v>
      </c>
      <c r="D303" s="25">
        <v>45949</v>
      </c>
      <c r="E303" s="3" t="s">
        <v>28</v>
      </c>
      <c r="F303" s="3" t="s">
        <v>32</v>
      </c>
      <c r="G303" s="3" t="s">
        <v>15</v>
      </c>
      <c r="H303" s="3" t="s">
        <v>927</v>
      </c>
      <c r="I303" s="3" t="s">
        <v>928</v>
      </c>
      <c r="J303" s="3" t="s">
        <v>35</v>
      </c>
      <c r="K303" s="3">
        <v>1212.71</v>
      </c>
      <c r="L303" s="3">
        <v>4</v>
      </c>
      <c r="M303" s="3">
        <v>460.52</v>
      </c>
      <c r="N303" s="3">
        <v>0.22</v>
      </c>
    </row>
    <row r="304" spans="3:14" ht="15" customHeight="1">
      <c r="C304" s="3" t="s">
        <v>929</v>
      </c>
      <c r="D304" s="25">
        <v>45788</v>
      </c>
      <c r="E304" s="3" t="s">
        <v>20</v>
      </c>
      <c r="F304" s="3" t="s">
        <v>21</v>
      </c>
      <c r="G304" s="3" t="s">
        <v>15</v>
      </c>
      <c r="H304" s="3" t="s">
        <v>930</v>
      </c>
      <c r="I304" s="3" t="s">
        <v>931</v>
      </c>
      <c r="J304" s="3" t="s">
        <v>39</v>
      </c>
      <c r="K304" s="3">
        <v>1060.56</v>
      </c>
      <c r="L304" s="3">
        <v>1</v>
      </c>
      <c r="M304" s="3">
        <v>139.59</v>
      </c>
      <c r="N304" s="3">
        <v>0.19</v>
      </c>
    </row>
    <row r="305" spans="3:14" ht="15" customHeight="1">
      <c r="C305" s="3" t="s">
        <v>932</v>
      </c>
      <c r="D305" s="25">
        <v>45792</v>
      </c>
      <c r="E305" s="3" t="s">
        <v>20</v>
      </c>
      <c r="F305" s="3" t="s">
        <v>21</v>
      </c>
      <c r="G305" s="3" t="s">
        <v>15</v>
      </c>
      <c r="H305" s="3" t="s">
        <v>933</v>
      </c>
      <c r="I305" s="3" t="s">
        <v>934</v>
      </c>
      <c r="J305" s="3" t="s">
        <v>39</v>
      </c>
      <c r="K305" s="3">
        <v>1179.6300000000001</v>
      </c>
      <c r="L305" s="3">
        <v>9</v>
      </c>
      <c r="M305" s="3">
        <v>83.97</v>
      </c>
      <c r="N305" s="3">
        <v>0.11</v>
      </c>
    </row>
    <row r="306" spans="3:14" ht="15" customHeight="1">
      <c r="C306" s="3" t="s">
        <v>935</v>
      </c>
      <c r="D306" s="25">
        <v>45801</v>
      </c>
      <c r="E306" s="3" t="s">
        <v>20</v>
      </c>
      <c r="F306" s="3" t="s">
        <v>21</v>
      </c>
      <c r="G306" s="3" t="s">
        <v>15</v>
      </c>
      <c r="H306" s="3" t="s">
        <v>936</v>
      </c>
      <c r="I306" s="3" t="s">
        <v>937</v>
      </c>
      <c r="J306" s="3" t="s">
        <v>35</v>
      </c>
      <c r="K306" s="3">
        <v>1364.11</v>
      </c>
      <c r="L306" s="3">
        <v>9</v>
      </c>
      <c r="M306" s="3">
        <v>526.84</v>
      </c>
      <c r="N306" s="3">
        <v>0.18</v>
      </c>
    </row>
    <row r="307" spans="3:14" ht="15" customHeight="1">
      <c r="C307" s="3" t="s">
        <v>938</v>
      </c>
      <c r="D307" s="25">
        <v>45860</v>
      </c>
      <c r="E307" s="3" t="s">
        <v>13</v>
      </c>
      <c r="F307" s="3" t="s">
        <v>32</v>
      </c>
      <c r="G307" s="3" t="s">
        <v>15</v>
      </c>
      <c r="H307" s="3" t="s">
        <v>939</v>
      </c>
      <c r="I307" s="3" t="s">
        <v>940</v>
      </c>
      <c r="J307" s="3" t="s">
        <v>18</v>
      </c>
      <c r="K307" s="3">
        <v>1032.83</v>
      </c>
      <c r="L307" s="3">
        <v>2</v>
      </c>
      <c r="M307" s="3">
        <v>247.92</v>
      </c>
      <c r="N307" s="3">
        <v>0.09</v>
      </c>
    </row>
    <row r="308" spans="3:14" ht="15" customHeight="1">
      <c r="C308" s="3" t="s">
        <v>941</v>
      </c>
      <c r="D308" s="25">
        <v>45939</v>
      </c>
      <c r="E308" s="3" t="s">
        <v>13</v>
      </c>
      <c r="F308" s="3" t="s">
        <v>32</v>
      </c>
      <c r="G308" s="3" t="s">
        <v>15</v>
      </c>
      <c r="H308" s="3" t="s">
        <v>942</v>
      </c>
      <c r="I308" s="3" t="s">
        <v>943</v>
      </c>
      <c r="J308" s="3" t="s">
        <v>39</v>
      </c>
      <c r="K308" s="3">
        <v>714.46</v>
      </c>
      <c r="L308" s="3">
        <v>3</v>
      </c>
      <c r="M308" s="3">
        <v>168.81</v>
      </c>
      <c r="N308" s="3">
        <v>0.14000000000000001</v>
      </c>
    </row>
    <row r="309" spans="3:14" ht="15" customHeight="1">
      <c r="C309" s="3" t="s">
        <v>944</v>
      </c>
      <c r="D309" s="25">
        <v>46017</v>
      </c>
      <c r="E309" s="3" t="s">
        <v>41</v>
      </c>
      <c r="F309" s="3" t="s">
        <v>21</v>
      </c>
      <c r="G309" s="3" t="s">
        <v>15</v>
      </c>
      <c r="H309" s="3" t="s">
        <v>945</v>
      </c>
      <c r="I309" s="3" t="s">
        <v>946</v>
      </c>
      <c r="J309" s="3" t="s">
        <v>39</v>
      </c>
      <c r="K309" s="3">
        <v>1837.03</v>
      </c>
      <c r="L309" s="3">
        <v>4</v>
      </c>
      <c r="M309" s="3">
        <v>726.12</v>
      </c>
      <c r="N309" s="3">
        <v>0.21</v>
      </c>
    </row>
    <row r="310" spans="3:14" ht="15" customHeight="1">
      <c r="C310" s="3" t="s">
        <v>947</v>
      </c>
      <c r="D310" s="25">
        <v>45663</v>
      </c>
      <c r="E310" s="3" t="s">
        <v>13</v>
      </c>
      <c r="F310" s="3" t="s">
        <v>14</v>
      </c>
      <c r="G310" s="3" t="s">
        <v>15</v>
      </c>
      <c r="H310" s="3" t="s">
        <v>948</v>
      </c>
      <c r="I310" s="3" t="s">
        <v>949</v>
      </c>
      <c r="J310" s="3" t="s">
        <v>35</v>
      </c>
      <c r="K310" s="3">
        <v>454.82</v>
      </c>
      <c r="L310" s="3">
        <v>1</v>
      </c>
      <c r="M310" s="3">
        <v>163.19999999999999</v>
      </c>
      <c r="N310" s="3">
        <v>0.23</v>
      </c>
    </row>
    <row r="311" spans="3:14" ht="15" customHeight="1">
      <c r="C311" s="3" t="s">
        <v>950</v>
      </c>
      <c r="D311" s="25">
        <v>45888</v>
      </c>
      <c r="E311" s="3" t="s">
        <v>28</v>
      </c>
      <c r="F311" s="3" t="s">
        <v>14</v>
      </c>
      <c r="G311" s="3" t="s">
        <v>15</v>
      </c>
      <c r="H311" s="3" t="s">
        <v>951</v>
      </c>
      <c r="I311" s="3" t="s">
        <v>952</v>
      </c>
      <c r="J311" s="3" t="s">
        <v>39</v>
      </c>
      <c r="K311" s="3">
        <v>1816.8</v>
      </c>
      <c r="L311" s="3">
        <v>5</v>
      </c>
      <c r="M311" s="3">
        <v>522.53</v>
      </c>
      <c r="N311" s="3">
        <v>0.13</v>
      </c>
    </row>
    <row r="312" spans="3:14" ht="15" customHeight="1">
      <c r="C312" s="3" t="s">
        <v>953</v>
      </c>
      <c r="D312" s="25">
        <v>45721</v>
      </c>
      <c r="E312" s="3" t="s">
        <v>41</v>
      </c>
      <c r="F312" s="3" t="s">
        <v>21</v>
      </c>
      <c r="G312" s="3" t="s">
        <v>15</v>
      </c>
      <c r="H312" s="3" t="s">
        <v>954</v>
      </c>
      <c r="I312" s="3" t="s">
        <v>955</v>
      </c>
      <c r="J312" s="3" t="s">
        <v>35</v>
      </c>
      <c r="K312" s="3">
        <v>1160.68</v>
      </c>
      <c r="L312" s="3">
        <v>6</v>
      </c>
      <c r="M312" s="3">
        <v>359.24</v>
      </c>
      <c r="N312" s="3">
        <v>0.28000000000000003</v>
      </c>
    </row>
    <row r="313" spans="3:14" ht="15" customHeight="1">
      <c r="C313" s="3" t="s">
        <v>956</v>
      </c>
      <c r="D313" s="25">
        <v>45933</v>
      </c>
      <c r="E313" s="3" t="s">
        <v>20</v>
      </c>
      <c r="F313" s="3" t="s">
        <v>14</v>
      </c>
      <c r="G313" s="3" t="s">
        <v>15</v>
      </c>
      <c r="H313" s="3" t="s">
        <v>957</v>
      </c>
      <c r="I313" s="3" t="s">
        <v>958</v>
      </c>
      <c r="J313" s="3" t="s">
        <v>35</v>
      </c>
      <c r="K313" s="3">
        <v>1758.73</v>
      </c>
      <c r="L313" s="3">
        <v>8</v>
      </c>
      <c r="M313" s="3">
        <v>210.05</v>
      </c>
      <c r="N313" s="3">
        <v>0.3</v>
      </c>
    </row>
    <row r="314" spans="3:14" ht="15" customHeight="1">
      <c r="C314" s="3" t="s">
        <v>959</v>
      </c>
      <c r="D314" s="25">
        <v>45800</v>
      </c>
      <c r="E314" s="3" t="s">
        <v>13</v>
      </c>
      <c r="F314" s="3" t="s">
        <v>32</v>
      </c>
      <c r="G314" s="3" t="s">
        <v>15</v>
      </c>
      <c r="H314" s="3" t="s">
        <v>960</v>
      </c>
      <c r="I314" s="3" t="s">
        <v>961</v>
      </c>
      <c r="J314" s="3" t="s">
        <v>39</v>
      </c>
      <c r="K314" s="3">
        <v>1335.75</v>
      </c>
      <c r="L314" s="3">
        <v>4</v>
      </c>
      <c r="M314" s="3">
        <v>467.26</v>
      </c>
      <c r="N314" s="3">
        <v>0.3</v>
      </c>
    </row>
    <row r="315" spans="3:14" ht="15" customHeight="1">
      <c r="C315" s="3" t="s">
        <v>962</v>
      </c>
      <c r="D315" s="25">
        <v>45924</v>
      </c>
      <c r="E315" s="3" t="s">
        <v>28</v>
      </c>
      <c r="F315" s="3" t="s">
        <v>32</v>
      </c>
      <c r="G315" s="3" t="s">
        <v>15</v>
      </c>
      <c r="H315" s="3" t="s">
        <v>963</v>
      </c>
      <c r="I315" s="3" t="s">
        <v>964</v>
      </c>
      <c r="J315" s="3" t="s">
        <v>35</v>
      </c>
      <c r="K315" s="3">
        <v>333.18</v>
      </c>
      <c r="L315" s="3">
        <v>7</v>
      </c>
      <c r="M315" s="3">
        <v>100.12</v>
      </c>
      <c r="N315" s="3">
        <v>0.03</v>
      </c>
    </row>
    <row r="316" spans="3:14" ht="15" customHeight="1">
      <c r="C316" s="3" t="s">
        <v>965</v>
      </c>
      <c r="D316" s="25">
        <v>45884</v>
      </c>
      <c r="E316" s="3" t="s">
        <v>13</v>
      </c>
      <c r="F316" s="3" t="s">
        <v>14</v>
      </c>
      <c r="G316" s="3" t="s">
        <v>15</v>
      </c>
      <c r="H316" s="3" t="s">
        <v>966</v>
      </c>
      <c r="I316" s="3" t="s">
        <v>967</v>
      </c>
      <c r="J316" s="3" t="s">
        <v>18</v>
      </c>
      <c r="K316" s="3">
        <v>678.44</v>
      </c>
      <c r="L316" s="3">
        <v>2</v>
      </c>
      <c r="M316" s="3">
        <v>245.36</v>
      </c>
      <c r="N316" s="3">
        <v>0.18</v>
      </c>
    </row>
    <row r="317" spans="3:14" ht="15" customHeight="1">
      <c r="C317" s="3" t="s">
        <v>968</v>
      </c>
      <c r="D317" s="25">
        <v>45714</v>
      </c>
      <c r="E317" s="3" t="s">
        <v>41</v>
      </c>
      <c r="F317" s="3" t="s">
        <v>14</v>
      </c>
      <c r="G317" s="3" t="s">
        <v>15</v>
      </c>
      <c r="H317" s="3" t="s">
        <v>969</v>
      </c>
      <c r="I317" s="3" t="s">
        <v>970</v>
      </c>
      <c r="J317" s="3" t="s">
        <v>39</v>
      </c>
      <c r="K317" s="3">
        <v>804.87</v>
      </c>
      <c r="L317" s="3">
        <v>2</v>
      </c>
      <c r="M317" s="3">
        <v>47.97</v>
      </c>
      <c r="N317" s="3">
        <v>0.1</v>
      </c>
    </row>
    <row r="318" spans="3:14" ht="15" customHeight="1">
      <c r="C318" s="3" t="s">
        <v>971</v>
      </c>
      <c r="D318" s="25">
        <v>45765</v>
      </c>
      <c r="E318" s="3" t="s">
        <v>20</v>
      </c>
      <c r="F318" s="3" t="s">
        <v>14</v>
      </c>
      <c r="G318" s="3" t="s">
        <v>15</v>
      </c>
      <c r="H318" s="3" t="s">
        <v>972</v>
      </c>
      <c r="I318" s="3" t="s">
        <v>973</v>
      </c>
      <c r="J318" s="3" t="s">
        <v>35</v>
      </c>
      <c r="K318" s="3">
        <v>1018.77</v>
      </c>
      <c r="L318" s="3">
        <v>4</v>
      </c>
      <c r="M318" s="3">
        <v>184.56</v>
      </c>
      <c r="N318" s="3">
        <v>7.0000000000000007E-2</v>
      </c>
    </row>
    <row r="319" spans="3:14" ht="15" customHeight="1">
      <c r="C319" s="3" t="s">
        <v>974</v>
      </c>
      <c r="D319" s="25">
        <v>45718</v>
      </c>
      <c r="E319" s="3" t="s">
        <v>20</v>
      </c>
      <c r="F319" s="3" t="s">
        <v>21</v>
      </c>
      <c r="G319" s="3" t="s">
        <v>15</v>
      </c>
      <c r="H319" s="3" t="s">
        <v>975</v>
      </c>
      <c r="I319" s="3" t="s">
        <v>976</v>
      </c>
      <c r="J319" s="3" t="s">
        <v>39</v>
      </c>
      <c r="K319" s="3">
        <v>1472.56</v>
      </c>
      <c r="L319" s="3">
        <v>7</v>
      </c>
      <c r="M319" s="3">
        <v>504.11</v>
      </c>
      <c r="N319" s="3">
        <v>0.06</v>
      </c>
    </row>
    <row r="320" spans="3:14" ht="15" customHeight="1">
      <c r="C320" s="3" t="s">
        <v>977</v>
      </c>
      <c r="D320" s="25">
        <v>45999</v>
      </c>
      <c r="E320" s="3" t="s">
        <v>20</v>
      </c>
      <c r="F320" s="3" t="s">
        <v>14</v>
      </c>
      <c r="G320" s="3" t="s">
        <v>15</v>
      </c>
      <c r="H320" s="3" t="s">
        <v>978</v>
      </c>
      <c r="I320" s="3" t="s">
        <v>979</v>
      </c>
      <c r="J320" s="3" t="s">
        <v>35</v>
      </c>
      <c r="K320" s="3">
        <v>1007.05</v>
      </c>
      <c r="L320" s="3">
        <v>6</v>
      </c>
      <c r="M320" s="3">
        <v>313.42</v>
      </c>
      <c r="N320" s="3">
        <v>0.28999999999999998</v>
      </c>
    </row>
    <row r="321" spans="3:14" ht="15" customHeight="1">
      <c r="C321" s="3" t="s">
        <v>980</v>
      </c>
      <c r="D321" s="25">
        <v>45928</v>
      </c>
      <c r="E321" s="3" t="s">
        <v>20</v>
      </c>
      <c r="F321" s="3" t="s">
        <v>21</v>
      </c>
      <c r="G321" s="3" t="s">
        <v>15</v>
      </c>
      <c r="H321" s="3" t="s">
        <v>981</v>
      </c>
      <c r="I321" s="3" t="s">
        <v>982</v>
      </c>
      <c r="J321" s="3" t="s">
        <v>35</v>
      </c>
      <c r="K321" s="3">
        <v>730.07</v>
      </c>
      <c r="L321" s="3">
        <v>5</v>
      </c>
      <c r="M321" s="3">
        <v>240.01</v>
      </c>
      <c r="N321" s="3">
        <v>0.1</v>
      </c>
    </row>
    <row r="322" spans="3:14" ht="15" customHeight="1">
      <c r="C322" s="3" t="s">
        <v>983</v>
      </c>
      <c r="D322" s="25">
        <v>45897</v>
      </c>
      <c r="E322" s="3" t="s">
        <v>20</v>
      </c>
      <c r="F322" s="3" t="s">
        <v>21</v>
      </c>
      <c r="G322" s="3" t="s">
        <v>15</v>
      </c>
      <c r="H322" s="3" t="s">
        <v>984</v>
      </c>
      <c r="I322" s="3" t="s">
        <v>985</v>
      </c>
      <c r="J322" s="3" t="s">
        <v>35</v>
      </c>
      <c r="K322" s="3">
        <v>1617.36</v>
      </c>
      <c r="L322" s="3">
        <v>9</v>
      </c>
      <c r="M322" s="3">
        <v>366.31</v>
      </c>
      <c r="N322" s="3">
        <v>0.25</v>
      </c>
    </row>
    <row r="323" spans="3:14" ht="15" customHeight="1">
      <c r="C323" s="3" t="s">
        <v>986</v>
      </c>
      <c r="D323" s="25">
        <v>45952</v>
      </c>
      <c r="E323" s="3" t="s">
        <v>20</v>
      </c>
      <c r="F323" s="3" t="s">
        <v>14</v>
      </c>
      <c r="G323" s="3" t="s">
        <v>15</v>
      </c>
      <c r="H323" s="3" t="s">
        <v>987</v>
      </c>
      <c r="I323" s="3" t="s">
        <v>988</v>
      </c>
      <c r="J323" s="3" t="s">
        <v>18</v>
      </c>
      <c r="K323" s="3">
        <v>1315.08</v>
      </c>
      <c r="L323" s="3">
        <v>6</v>
      </c>
      <c r="M323" s="3">
        <v>312.60000000000002</v>
      </c>
      <c r="N323" s="3">
        <v>0.03</v>
      </c>
    </row>
    <row r="324" spans="3:14" ht="15" customHeight="1">
      <c r="C324" s="3" t="s">
        <v>989</v>
      </c>
      <c r="D324" s="25">
        <v>45994</v>
      </c>
      <c r="E324" s="3" t="s">
        <v>28</v>
      </c>
      <c r="F324" s="3" t="s">
        <v>21</v>
      </c>
      <c r="G324" s="3" t="s">
        <v>15</v>
      </c>
      <c r="H324" s="3" t="s">
        <v>990</v>
      </c>
      <c r="I324" s="3" t="s">
        <v>991</v>
      </c>
      <c r="J324" s="3" t="s">
        <v>18</v>
      </c>
      <c r="K324" s="3">
        <v>811.73</v>
      </c>
      <c r="L324" s="3">
        <v>8</v>
      </c>
      <c r="M324" s="3">
        <v>49.91</v>
      </c>
      <c r="N324" s="3">
        <v>0</v>
      </c>
    </row>
    <row r="325" spans="3:14" ht="15" customHeight="1">
      <c r="C325" s="3" t="s">
        <v>992</v>
      </c>
      <c r="D325" s="25">
        <v>45968</v>
      </c>
      <c r="E325" s="3" t="s">
        <v>28</v>
      </c>
      <c r="F325" s="3" t="s">
        <v>14</v>
      </c>
      <c r="G325" s="3" t="s">
        <v>15</v>
      </c>
      <c r="H325" s="3" t="s">
        <v>993</v>
      </c>
      <c r="I325" s="3" t="s">
        <v>994</v>
      </c>
      <c r="J325" s="3" t="s">
        <v>18</v>
      </c>
      <c r="K325" s="3">
        <v>412.57</v>
      </c>
      <c r="L325" s="3">
        <v>2</v>
      </c>
      <c r="M325" s="3">
        <v>64.92</v>
      </c>
      <c r="N325" s="3">
        <v>0.13</v>
      </c>
    </row>
    <row r="326" spans="3:14" ht="15" customHeight="1">
      <c r="C326" s="3" t="s">
        <v>995</v>
      </c>
      <c r="D326" s="25">
        <v>45796</v>
      </c>
      <c r="E326" s="3" t="s">
        <v>20</v>
      </c>
      <c r="F326" s="3" t="s">
        <v>32</v>
      </c>
      <c r="G326" s="3" t="s">
        <v>15</v>
      </c>
      <c r="H326" s="3" t="s">
        <v>996</v>
      </c>
      <c r="I326" s="3" t="s">
        <v>997</v>
      </c>
      <c r="J326" s="3" t="s">
        <v>18</v>
      </c>
      <c r="K326" s="3">
        <v>850.03</v>
      </c>
      <c r="L326" s="3">
        <v>3</v>
      </c>
      <c r="M326" s="3">
        <v>94.69</v>
      </c>
      <c r="N326" s="3">
        <v>0.06</v>
      </c>
    </row>
    <row r="327" spans="3:14" ht="15" customHeight="1">
      <c r="C327" s="3" t="s">
        <v>998</v>
      </c>
      <c r="D327" s="25">
        <v>45729</v>
      </c>
      <c r="E327" s="3" t="s">
        <v>13</v>
      </c>
      <c r="F327" s="3" t="s">
        <v>21</v>
      </c>
      <c r="G327" s="3" t="s">
        <v>15</v>
      </c>
      <c r="H327" s="3" t="s">
        <v>999</v>
      </c>
      <c r="I327" s="3" t="s">
        <v>1000</v>
      </c>
      <c r="J327" s="3" t="s">
        <v>39</v>
      </c>
      <c r="K327" s="3">
        <v>1926.43</v>
      </c>
      <c r="L327" s="3">
        <v>10</v>
      </c>
      <c r="M327" s="3">
        <v>582.45000000000005</v>
      </c>
      <c r="N327" s="3">
        <v>0.18</v>
      </c>
    </row>
    <row r="328" spans="3:14" ht="15" customHeight="1">
      <c r="C328" s="3" t="s">
        <v>1001</v>
      </c>
      <c r="D328" s="25">
        <v>45690</v>
      </c>
      <c r="E328" s="3" t="s">
        <v>13</v>
      </c>
      <c r="F328" s="3" t="s">
        <v>21</v>
      </c>
      <c r="G328" s="3" t="s">
        <v>15</v>
      </c>
      <c r="H328" s="3" t="s">
        <v>1002</v>
      </c>
      <c r="I328" s="3" t="s">
        <v>1003</v>
      </c>
      <c r="J328" s="3" t="s">
        <v>18</v>
      </c>
      <c r="K328" s="3">
        <v>1324.12</v>
      </c>
      <c r="L328" s="3">
        <v>5</v>
      </c>
      <c r="M328" s="3">
        <v>74.8</v>
      </c>
      <c r="N328" s="3">
        <v>0.28000000000000003</v>
      </c>
    </row>
    <row r="329" spans="3:14" ht="15" customHeight="1">
      <c r="C329" s="3" t="s">
        <v>1004</v>
      </c>
      <c r="D329" s="25">
        <v>45681</v>
      </c>
      <c r="E329" s="3" t="s">
        <v>28</v>
      </c>
      <c r="F329" s="3" t="s">
        <v>14</v>
      </c>
      <c r="G329" s="3" t="s">
        <v>15</v>
      </c>
      <c r="H329" s="3" t="s">
        <v>1005</v>
      </c>
      <c r="I329" s="3" t="s">
        <v>1006</v>
      </c>
      <c r="J329" s="3" t="s">
        <v>35</v>
      </c>
      <c r="K329" s="3">
        <v>1474.1</v>
      </c>
      <c r="L329" s="3">
        <v>9</v>
      </c>
      <c r="M329" s="3">
        <v>150.21</v>
      </c>
      <c r="N329" s="3">
        <v>0</v>
      </c>
    </row>
    <row r="330" spans="3:14" ht="15" customHeight="1">
      <c r="C330" s="3" t="s">
        <v>1007</v>
      </c>
      <c r="D330" s="25">
        <v>45682</v>
      </c>
      <c r="E330" s="3" t="s">
        <v>28</v>
      </c>
      <c r="F330" s="3" t="s">
        <v>32</v>
      </c>
      <c r="G330" s="3" t="s">
        <v>15</v>
      </c>
      <c r="H330" s="3" t="s">
        <v>1008</v>
      </c>
      <c r="I330" s="3" t="s">
        <v>1009</v>
      </c>
      <c r="J330" s="3" t="s">
        <v>35</v>
      </c>
      <c r="K330" s="3">
        <v>1588.7</v>
      </c>
      <c r="L330" s="3">
        <v>5</v>
      </c>
      <c r="M330" s="3">
        <v>231.36</v>
      </c>
      <c r="N330" s="3">
        <v>0.22</v>
      </c>
    </row>
    <row r="331" spans="3:14" ht="15" customHeight="1">
      <c r="C331" s="3" t="s">
        <v>1010</v>
      </c>
      <c r="D331" s="25">
        <v>45693</v>
      </c>
      <c r="E331" s="3" t="s">
        <v>41</v>
      </c>
      <c r="F331" s="3" t="s">
        <v>21</v>
      </c>
      <c r="G331" s="3" t="s">
        <v>15</v>
      </c>
      <c r="H331" s="3" t="s">
        <v>1011</v>
      </c>
      <c r="I331" s="3" t="s">
        <v>1012</v>
      </c>
      <c r="J331" s="3" t="s">
        <v>35</v>
      </c>
      <c r="K331" s="3">
        <v>1509.6</v>
      </c>
      <c r="L331" s="3">
        <v>7</v>
      </c>
      <c r="M331" s="3">
        <v>281.69</v>
      </c>
      <c r="N331" s="3">
        <v>0.21</v>
      </c>
    </row>
    <row r="332" spans="3:14" ht="15" customHeight="1">
      <c r="C332" s="3" t="s">
        <v>1013</v>
      </c>
      <c r="D332" s="25">
        <v>45912</v>
      </c>
      <c r="E332" s="3" t="s">
        <v>41</v>
      </c>
      <c r="F332" s="3" t="s">
        <v>21</v>
      </c>
      <c r="G332" s="3" t="s">
        <v>15</v>
      </c>
      <c r="H332" s="3" t="s">
        <v>1014</v>
      </c>
      <c r="I332" s="3" t="s">
        <v>1015</v>
      </c>
      <c r="J332" s="3" t="s">
        <v>39</v>
      </c>
      <c r="K332" s="3">
        <v>827.64</v>
      </c>
      <c r="L332" s="3">
        <v>1</v>
      </c>
      <c r="M332" s="3">
        <v>265.58</v>
      </c>
      <c r="N332" s="3">
        <v>0.25</v>
      </c>
    </row>
    <row r="333" spans="3:14" ht="15" customHeight="1">
      <c r="C333" s="3" t="s">
        <v>1016</v>
      </c>
      <c r="D333" s="25">
        <v>45789</v>
      </c>
      <c r="E333" s="3" t="s">
        <v>13</v>
      </c>
      <c r="F333" s="3" t="s">
        <v>14</v>
      </c>
      <c r="G333" s="3" t="s">
        <v>15</v>
      </c>
      <c r="H333" s="3" t="s">
        <v>1017</v>
      </c>
      <c r="I333" s="3" t="s">
        <v>1018</v>
      </c>
      <c r="J333" s="3" t="s">
        <v>39</v>
      </c>
      <c r="K333" s="3">
        <v>1324.96</v>
      </c>
      <c r="L333" s="3">
        <v>6</v>
      </c>
      <c r="M333" s="3">
        <v>381.77</v>
      </c>
      <c r="N333" s="3">
        <v>0.11</v>
      </c>
    </row>
    <row r="334" spans="3:14" ht="15" customHeight="1">
      <c r="C334" s="3" t="s">
        <v>1019</v>
      </c>
      <c r="D334" s="25">
        <v>45986</v>
      </c>
      <c r="E334" s="3" t="s">
        <v>20</v>
      </c>
      <c r="F334" s="3" t="s">
        <v>32</v>
      </c>
      <c r="G334" s="3" t="s">
        <v>15</v>
      </c>
      <c r="H334" s="3" t="s">
        <v>1020</v>
      </c>
      <c r="I334" s="3" t="s">
        <v>1021</v>
      </c>
      <c r="J334" s="3" t="s">
        <v>35</v>
      </c>
      <c r="K334" s="3">
        <v>1830.95</v>
      </c>
      <c r="L334" s="3">
        <v>4</v>
      </c>
      <c r="M334" s="3">
        <v>536.85</v>
      </c>
      <c r="N334" s="3">
        <v>0.24</v>
      </c>
    </row>
    <row r="335" spans="3:14" ht="15" customHeight="1">
      <c r="C335" s="3" t="s">
        <v>1022</v>
      </c>
      <c r="D335" s="25">
        <v>46017</v>
      </c>
      <c r="E335" s="3" t="s">
        <v>13</v>
      </c>
      <c r="F335" s="3" t="s">
        <v>32</v>
      </c>
      <c r="G335" s="3" t="s">
        <v>15</v>
      </c>
      <c r="H335" s="3" t="s">
        <v>1023</v>
      </c>
      <c r="I335" s="3" t="s">
        <v>1024</v>
      </c>
      <c r="J335" s="3" t="s">
        <v>39</v>
      </c>
      <c r="K335" s="3">
        <v>871.91</v>
      </c>
      <c r="L335" s="3">
        <v>5</v>
      </c>
      <c r="M335" s="3">
        <v>315.79000000000002</v>
      </c>
      <c r="N335" s="3">
        <v>0.28999999999999998</v>
      </c>
    </row>
    <row r="336" spans="3:14" ht="15" customHeight="1">
      <c r="C336" s="3" t="s">
        <v>1025</v>
      </c>
      <c r="D336" s="25">
        <v>45715</v>
      </c>
      <c r="E336" s="3" t="s">
        <v>41</v>
      </c>
      <c r="F336" s="3" t="s">
        <v>21</v>
      </c>
      <c r="G336" s="3" t="s">
        <v>15</v>
      </c>
      <c r="H336" s="3" t="s">
        <v>1026</v>
      </c>
      <c r="I336" s="3" t="s">
        <v>1027</v>
      </c>
      <c r="J336" s="3" t="s">
        <v>39</v>
      </c>
      <c r="K336" s="3">
        <v>1101.6400000000001</v>
      </c>
      <c r="L336" s="3">
        <v>7</v>
      </c>
      <c r="M336" s="3">
        <v>269.13</v>
      </c>
      <c r="N336" s="3">
        <v>0.17</v>
      </c>
    </row>
    <row r="337" spans="3:14" ht="15" customHeight="1">
      <c r="C337" s="3" t="s">
        <v>1028</v>
      </c>
      <c r="D337" s="25">
        <v>45680</v>
      </c>
      <c r="E337" s="3" t="s">
        <v>41</v>
      </c>
      <c r="F337" s="3" t="s">
        <v>21</v>
      </c>
      <c r="G337" s="3" t="s">
        <v>15</v>
      </c>
      <c r="H337" s="3" t="s">
        <v>1029</v>
      </c>
      <c r="I337" s="3" t="s">
        <v>1030</v>
      </c>
      <c r="J337" s="3" t="s">
        <v>39</v>
      </c>
      <c r="K337" s="3">
        <v>602.12</v>
      </c>
      <c r="L337" s="3">
        <v>5</v>
      </c>
      <c r="M337" s="3">
        <v>34.340000000000003</v>
      </c>
      <c r="N337" s="3">
        <v>0.13</v>
      </c>
    </row>
    <row r="338" spans="3:14" ht="15" customHeight="1">
      <c r="C338" s="3" t="s">
        <v>1031</v>
      </c>
      <c r="D338" s="25">
        <v>45880</v>
      </c>
      <c r="E338" s="3" t="s">
        <v>28</v>
      </c>
      <c r="F338" s="3" t="s">
        <v>14</v>
      </c>
      <c r="G338" s="3" t="s">
        <v>15</v>
      </c>
      <c r="H338" s="3" t="s">
        <v>1032</v>
      </c>
      <c r="I338" s="3" t="s">
        <v>1033</v>
      </c>
      <c r="J338" s="3" t="s">
        <v>39</v>
      </c>
      <c r="K338" s="3">
        <v>1278.69</v>
      </c>
      <c r="L338" s="3">
        <v>1</v>
      </c>
      <c r="M338" s="3">
        <v>267.95999999999998</v>
      </c>
      <c r="N338" s="3">
        <v>0.09</v>
      </c>
    </row>
    <row r="339" spans="3:14" ht="15" customHeight="1">
      <c r="C339" s="3" t="s">
        <v>1034</v>
      </c>
      <c r="D339" s="25">
        <v>45921</v>
      </c>
      <c r="E339" s="3" t="s">
        <v>41</v>
      </c>
      <c r="F339" s="3" t="s">
        <v>14</v>
      </c>
      <c r="G339" s="3" t="s">
        <v>15</v>
      </c>
      <c r="H339" s="3" t="s">
        <v>1035</v>
      </c>
      <c r="I339" s="3" t="s">
        <v>1036</v>
      </c>
      <c r="J339" s="3" t="s">
        <v>18</v>
      </c>
      <c r="K339" s="3">
        <v>750.37</v>
      </c>
      <c r="L339" s="3">
        <v>8</v>
      </c>
      <c r="M339" s="3">
        <v>120.88</v>
      </c>
      <c r="N339" s="3">
        <v>0.13</v>
      </c>
    </row>
    <row r="340" spans="3:14" ht="15" customHeight="1">
      <c r="C340" s="3" t="s">
        <v>1037</v>
      </c>
      <c r="D340" s="25">
        <v>45986</v>
      </c>
      <c r="E340" s="3" t="s">
        <v>41</v>
      </c>
      <c r="F340" s="3" t="s">
        <v>14</v>
      </c>
      <c r="G340" s="3" t="s">
        <v>15</v>
      </c>
      <c r="H340" s="3" t="s">
        <v>1038</v>
      </c>
      <c r="I340" s="3" t="s">
        <v>1039</v>
      </c>
      <c r="J340" s="3" t="s">
        <v>35</v>
      </c>
      <c r="K340" s="3">
        <v>242.73</v>
      </c>
      <c r="L340" s="3">
        <v>8</v>
      </c>
      <c r="M340" s="3">
        <v>92.69</v>
      </c>
      <c r="N340" s="3">
        <v>0.16</v>
      </c>
    </row>
    <row r="341" spans="3:14" ht="15" customHeight="1">
      <c r="C341" s="3" t="s">
        <v>1040</v>
      </c>
      <c r="D341" s="25">
        <v>45803</v>
      </c>
      <c r="E341" s="3" t="s">
        <v>28</v>
      </c>
      <c r="F341" s="3" t="s">
        <v>21</v>
      </c>
      <c r="G341" s="3" t="s">
        <v>15</v>
      </c>
      <c r="H341" s="3" t="s">
        <v>1041</v>
      </c>
      <c r="I341" s="3" t="s">
        <v>1042</v>
      </c>
      <c r="J341" s="3" t="s">
        <v>39</v>
      </c>
      <c r="K341" s="3">
        <v>1081.57</v>
      </c>
      <c r="L341" s="3">
        <v>6</v>
      </c>
      <c r="M341" s="3">
        <v>224.95</v>
      </c>
      <c r="N341" s="3">
        <v>0.01</v>
      </c>
    </row>
    <row r="342" spans="3:14" ht="15" customHeight="1">
      <c r="C342" s="3" t="s">
        <v>1043</v>
      </c>
      <c r="D342" s="25">
        <v>45812</v>
      </c>
      <c r="E342" s="3" t="s">
        <v>28</v>
      </c>
      <c r="F342" s="3" t="s">
        <v>21</v>
      </c>
      <c r="G342" s="3" t="s">
        <v>15</v>
      </c>
      <c r="H342" s="3" t="s">
        <v>1044</v>
      </c>
      <c r="I342" s="3" t="s">
        <v>1045</v>
      </c>
      <c r="J342" s="3" t="s">
        <v>39</v>
      </c>
      <c r="K342" s="3">
        <v>349.34</v>
      </c>
      <c r="L342" s="3">
        <v>7</v>
      </c>
      <c r="M342" s="3">
        <v>19.11</v>
      </c>
      <c r="N342" s="3">
        <v>0.12</v>
      </c>
    </row>
    <row r="343" spans="3:14" ht="15" customHeight="1">
      <c r="C343" s="3" t="s">
        <v>1046</v>
      </c>
      <c r="D343" s="25">
        <v>45711</v>
      </c>
      <c r="E343" s="3" t="s">
        <v>20</v>
      </c>
      <c r="F343" s="3" t="s">
        <v>32</v>
      </c>
      <c r="G343" s="3" t="s">
        <v>15</v>
      </c>
      <c r="H343" s="3" t="s">
        <v>1047</v>
      </c>
      <c r="I343" s="3" t="s">
        <v>1048</v>
      </c>
      <c r="J343" s="3" t="s">
        <v>35</v>
      </c>
      <c r="K343" s="3">
        <v>629.49</v>
      </c>
      <c r="L343" s="3">
        <v>4</v>
      </c>
      <c r="M343" s="3">
        <v>243.63</v>
      </c>
      <c r="N343" s="3">
        <v>0.12</v>
      </c>
    </row>
    <row r="344" spans="3:14" ht="15" customHeight="1">
      <c r="C344" s="3" t="s">
        <v>1049</v>
      </c>
      <c r="D344" s="25">
        <v>45883</v>
      </c>
      <c r="E344" s="3" t="s">
        <v>28</v>
      </c>
      <c r="F344" s="3" t="s">
        <v>32</v>
      </c>
      <c r="G344" s="3" t="s">
        <v>15</v>
      </c>
      <c r="H344" s="3" t="s">
        <v>1050</v>
      </c>
      <c r="I344" s="3" t="s">
        <v>1051</v>
      </c>
      <c r="J344" s="3" t="s">
        <v>35</v>
      </c>
      <c r="K344" s="3">
        <v>107.22</v>
      </c>
      <c r="L344" s="3">
        <v>5</v>
      </c>
      <c r="M344" s="3">
        <v>26.18</v>
      </c>
      <c r="N344" s="3">
        <v>0.24</v>
      </c>
    </row>
    <row r="345" spans="3:14" ht="15" customHeight="1">
      <c r="C345" s="3" t="s">
        <v>1052</v>
      </c>
      <c r="D345" s="25">
        <v>45966</v>
      </c>
      <c r="E345" s="3" t="s">
        <v>20</v>
      </c>
      <c r="F345" s="3" t="s">
        <v>21</v>
      </c>
      <c r="G345" s="3" t="s">
        <v>15</v>
      </c>
      <c r="H345" s="3" t="s">
        <v>1053</v>
      </c>
      <c r="I345" s="3" t="s">
        <v>1054</v>
      </c>
      <c r="J345" s="3" t="s">
        <v>35</v>
      </c>
      <c r="K345" s="3">
        <v>1025.18</v>
      </c>
      <c r="L345" s="3">
        <v>3</v>
      </c>
      <c r="M345" s="3">
        <v>366.12</v>
      </c>
      <c r="N345" s="3">
        <v>0.02</v>
      </c>
    </row>
    <row r="346" spans="3:14" ht="15" customHeight="1">
      <c r="C346" s="3" t="s">
        <v>1055</v>
      </c>
      <c r="D346" s="25">
        <v>45674</v>
      </c>
      <c r="E346" s="3" t="s">
        <v>41</v>
      </c>
      <c r="F346" s="3" t="s">
        <v>21</v>
      </c>
      <c r="G346" s="3" t="s">
        <v>15</v>
      </c>
      <c r="H346" s="3" t="s">
        <v>1056</v>
      </c>
      <c r="I346" s="3" t="s">
        <v>1057</v>
      </c>
      <c r="J346" s="3" t="s">
        <v>18</v>
      </c>
      <c r="K346" s="3">
        <v>188.36</v>
      </c>
      <c r="L346" s="3">
        <v>4</v>
      </c>
      <c r="M346" s="3">
        <v>65.81</v>
      </c>
      <c r="N346" s="3">
        <v>0.28000000000000003</v>
      </c>
    </row>
    <row r="347" spans="3:14" ht="15" customHeight="1">
      <c r="C347" s="3" t="s">
        <v>1058</v>
      </c>
      <c r="D347" s="25">
        <v>45981</v>
      </c>
      <c r="E347" s="3" t="s">
        <v>28</v>
      </c>
      <c r="F347" s="3" t="s">
        <v>32</v>
      </c>
      <c r="G347" s="3" t="s">
        <v>15</v>
      </c>
      <c r="H347" s="3" t="s">
        <v>1059</v>
      </c>
      <c r="I347" s="3" t="s">
        <v>1060</v>
      </c>
      <c r="J347" s="3" t="s">
        <v>35</v>
      </c>
      <c r="K347" s="3">
        <v>1894.17</v>
      </c>
      <c r="L347" s="3">
        <v>5</v>
      </c>
      <c r="M347" s="3">
        <v>734.53</v>
      </c>
      <c r="N347" s="3">
        <v>0.17</v>
      </c>
    </row>
    <row r="348" spans="3:14" ht="15" customHeight="1">
      <c r="C348" s="3" t="s">
        <v>1061</v>
      </c>
      <c r="D348" s="25">
        <v>46006</v>
      </c>
      <c r="E348" s="3" t="s">
        <v>41</v>
      </c>
      <c r="F348" s="3" t="s">
        <v>32</v>
      </c>
      <c r="G348" s="3" t="s">
        <v>15</v>
      </c>
      <c r="H348" s="3" t="s">
        <v>1062</v>
      </c>
      <c r="I348" s="3" t="s">
        <v>1063</v>
      </c>
      <c r="J348" s="3" t="s">
        <v>39</v>
      </c>
      <c r="K348" s="3">
        <v>1390.04</v>
      </c>
      <c r="L348" s="3">
        <v>7</v>
      </c>
      <c r="M348" s="3">
        <v>358.54</v>
      </c>
      <c r="N348" s="3">
        <v>0.12</v>
      </c>
    </row>
    <row r="349" spans="3:14" ht="15" customHeight="1">
      <c r="C349" s="3" t="s">
        <v>1064</v>
      </c>
      <c r="D349" s="25">
        <v>45989</v>
      </c>
      <c r="E349" s="3" t="s">
        <v>13</v>
      </c>
      <c r="F349" s="3" t="s">
        <v>14</v>
      </c>
      <c r="G349" s="3" t="s">
        <v>15</v>
      </c>
      <c r="H349" s="3" t="s">
        <v>1065</v>
      </c>
      <c r="I349" s="3" t="s">
        <v>1066</v>
      </c>
      <c r="J349" s="3" t="s">
        <v>39</v>
      </c>
      <c r="K349" s="3">
        <v>570.75</v>
      </c>
      <c r="L349" s="3">
        <v>9</v>
      </c>
      <c r="M349" s="3">
        <v>97.68</v>
      </c>
      <c r="N349" s="3">
        <v>0.21</v>
      </c>
    </row>
    <row r="350" spans="3:14" ht="15" customHeight="1">
      <c r="C350" s="3" t="s">
        <v>1067</v>
      </c>
      <c r="D350" s="25">
        <v>45826</v>
      </c>
      <c r="E350" s="3" t="s">
        <v>41</v>
      </c>
      <c r="F350" s="3" t="s">
        <v>14</v>
      </c>
      <c r="G350" s="3" t="s">
        <v>15</v>
      </c>
      <c r="H350" s="3" t="s">
        <v>1068</v>
      </c>
      <c r="I350" s="3" t="s">
        <v>1069</v>
      </c>
      <c r="J350" s="3" t="s">
        <v>35</v>
      </c>
      <c r="K350" s="3">
        <v>1027.96</v>
      </c>
      <c r="L350" s="3">
        <v>2</v>
      </c>
      <c r="M350" s="3">
        <v>159.22999999999999</v>
      </c>
      <c r="N350" s="3">
        <v>0.26</v>
      </c>
    </row>
    <row r="351" spans="3:14" ht="15" customHeight="1">
      <c r="C351" s="3" t="s">
        <v>1070</v>
      </c>
      <c r="D351" s="25">
        <v>45822</v>
      </c>
      <c r="E351" s="3" t="s">
        <v>20</v>
      </c>
      <c r="F351" s="3" t="s">
        <v>14</v>
      </c>
      <c r="G351" s="3" t="s">
        <v>15</v>
      </c>
      <c r="H351" s="3" t="s">
        <v>1071</v>
      </c>
      <c r="I351" s="3" t="s">
        <v>1072</v>
      </c>
      <c r="J351" s="3" t="s">
        <v>18</v>
      </c>
      <c r="K351" s="3">
        <v>1167.3599999999999</v>
      </c>
      <c r="L351" s="3">
        <v>4</v>
      </c>
      <c r="M351" s="3">
        <v>175.96</v>
      </c>
      <c r="N351" s="3">
        <v>0.28000000000000003</v>
      </c>
    </row>
    <row r="352" spans="3:14" ht="15" customHeight="1">
      <c r="C352" s="3" t="s">
        <v>1073</v>
      </c>
      <c r="D352" s="25">
        <v>45999</v>
      </c>
      <c r="E352" s="3" t="s">
        <v>41</v>
      </c>
      <c r="F352" s="3" t="s">
        <v>32</v>
      </c>
      <c r="G352" s="3" t="s">
        <v>15</v>
      </c>
      <c r="H352" s="3" t="s">
        <v>1074</v>
      </c>
      <c r="I352" s="3" t="s">
        <v>1075</v>
      </c>
      <c r="J352" s="3" t="s">
        <v>39</v>
      </c>
      <c r="K352" s="3">
        <v>1639.23</v>
      </c>
      <c r="L352" s="3">
        <v>1</v>
      </c>
      <c r="M352" s="3">
        <v>229.31</v>
      </c>
      <c r="N352" s="3">
        <v>0.28000000000000003</v>
      </c>
    </row>
    <row r="353" spans="3:14" ht="15" customHeight="1">
      <c r="C353" s="3" t="s">
        <v>1076</v>
      </c>
      <c r="D353" s="25">
        <v>45980</v>
      </c>
      <c r="E353" s="3" t="s">
        <v>13</v>
      </c>
      <c r="F353" s="3" t="s">
        <v>32</v>
      </c>
      <c r="G353" s="3" t="s">
        <v>15</v>
      </c>
      <c r="H353" s="3" t="s">
        <v>1077</v>
      </c>
      <c r="I353" s="3" t="s">
        <v>1078</v>
      </c>
      <c r="J353" s="3" t="s">
        <v>39</v>
      </c>
      <c r="K353" s="3">
        <v>144.57</v>
      </c>
      <c r="L353" s="3">
        <v>1</v>
      </c>
      <c r="M353" s="3">
        <v>24.97</v>
      </c>
      <c r="N353" s="3">
        <v>0.23</v>
      </c>
    </row>
    <row r="354" spans="3:14" ht="15" customHeight="1">
      <c r="C354" s="3" t="s">
        <v>1079</v>
      </c>
      <c r="D354" s="25">
        <v>45814</v>
      </c>
      <c r="E354" s="3" t="s">
        <v>13</v>
      </c>
      <c r="F354" s="3" t="s">
        <v>21</v>
      </c>
      <c r="G354" s="3" t="s">
        <v>15</v>
      </c>
      <c r="H354" s="3" t="s">
        <v>1080</v>
      </c>
      <c r="I354" s="3" t="s">
        <v>1081</v>
      </c>
      <c r="J354" s="3" t="s">
        <v>35</v>
      </c>
      <c r="K354" s="3">
        <v>1397.17</v>
      </c>
      <c r="L354" s="3">
        <v>7</v>
      </c>
      <c r="M354" s="3">
        <v>548.08000000000004</v>
      </c>
      <c r="N354" s="3">
        <v>0</v>
      </c>
    </row>
    <row r="355" spans="3:14" ht="15" customHeight="1">
      <c r="C355" s="3" t="s">
        <v>1082</v>
      </c>
      <c r="D355" s="25">
        <v>46002</v>
      </c>
      <c r="E355" s="3" t="s">
        <v>41</v>
      </c>
      <c r="F355" s="3" t="s">
        <v>21</v>
      </c>
      <c r="G355" s="3" t="s">
        <v>15</v>
      </c>
      <c r="H355" s="3" t="s">
        <v>1083</v>
      </c>
      <c r="I355" s="3" t="s">
        <v>1084</v>
      </c>
      <c r="J355" s="3" t="s">
        <v>39</v>
      </c>
      <c r="K355" s="3">
        <v>307.08999999999997</v>
      </c>
      <c r="L355" s="3">
        <v>10</v>
      </c>
      <c r="M355" s="3">
        <v>15.99</v>
      </c>
      <c r="N355" s="3">
        <v>0.27</v>
      </c>
    </row>
    <row r="356" spans="3:14" ht="15" customHeight="1">
      <c r="C356" s="3" t="s">
        <v>1085</v>
      </c>
      <c r="D356" s="25">
        <v>45684</v>
      </c>
      <c r="E356" s="3" t="s">
        <v>20</v>
      </c>
      <c r="F356" s="3" t="s">
        <v>14</v>
      </c>
      <c r="G356" s="3" t="s">
        <v>15</v>
      </c>
      <c r="H356" s="3" t="s">
        <v>1086</v>
      </c>
      <c r="I356" s="3" t="s">
        <v>1087</v>
      </c>
      <c r="J356" s="3" t="s">
        <v>18</v>
      </c>
      <c r="K356" s="3">
        <v>1622.48</v>
      </c>
      <c r="L356" s="3">
        <v>8</v>
      </c>
      <c r="M356" s="3">
        <v>99.38</v>
      </c>
      <c r="N356" s="3">
        <v>7.0000000000000007E-2</v>
      </c>
    </row>
    <row r="357" spans="3:14" ht="15" customHeight="1">
      <c r="C357" s="3" t="s">
        <v>1088</v>
      </c>
      <c r="D357" s="25">
        <v>45911</v>
      </c>
      <c r="E357" s="3" t="s">
        <v>13</v>
      </c>
      <c r="F357" s="3" t="s">
        <v>14</v>
      </c>
      <c r="G357" s="3" t="s">
        <v>15</v>
      </c>
      <c r="H357" s="3" t="s">
        <v>1089</v>
      </c>
      <c r="I357" s="3" t="s">
        <v>1090</v>
      </c>
      <c r="J357" s="3" t="s">
        <v>39</v>
      </c>
      <c r="K357" s="3">
        <v>181.22</v>
      </c>
      <c r="L357" s="3">
        <v>1</v>
      </c>
      <c r="M357" s="3">
        <v>30.59</v>
      </c>
      <c r="N357" s="3">
        <v>0.12</v>
      </c>
    </row>
    <row r="358" spans="3:14" ht="15" customHeight="1">
      <c r="C358" s="3" t="s">
        <v>1091</v>
      </c>
      <c r="D358" s="25">
        <v>45758</v>
      </c>
      <c r="E358" s="3" t="s">
        <v>13</v>
      </c>
      <c r="F358" s="3" t="s">
        <v>32</v>
      </c>
      <c r="G358" s="3" t="s">
        <v>15</v>
      </c>
      <c r="H358" s="3" t="s">
        <v>1092</v>
      </c>
      <c r="I358" s="3" t="s">
        <v>1093</v>
      </c>
      <c r="J358" s="3" t="s">
        <v>39</v>
      </c>
      <c r="K358" s="3">
        <v>1951.69</v>
      </c>
      <c r="L358" s="3">
        <v>2</v>
      </c>
      <c r="M358" s="3">
        <v>333.71</v>
      </c>
      <c r="N358" s="3">
        <v>0.21</v>
      </c>
    </row>
    <row r="359" spans="3:14" ht="15" customHeight="1">
      <c r="C359" s="3" t="s">
        <v>1094</v>
      </c>
      <c r="D359" s="25">
        <v>45828</v>
      </c>
      <c r="E359" s="3" t="s">
        <v>28</v>
      </c>
      <c r="F359" s="3" t="s">
        <v>21</v>
      </c>
      <c r="G359" s="3" t="s">
        <v>15</v>
      </c>
      <c r="H359" s="3" t="s">
        <v>1095</v>
      </c>
      <c r="I359" s="3" t="s">
        <v>1096</v>
      </c>
      <c r="J359" s="3" t="s">
        <v>35</v>
      </c>
      <c r="K359" s="3">
        <v>1265.28</v>
      </c>
      <c r="L359" s="3">
        <v>9</v>
      </c>
      <c r="M359" s="3">
        <v>235.04</v>
      </c>
      <c r="N359" s="3">
        <v>0.26</v>
      </c>
    </row>
    <row r="360" spans="3:14" ht="15" customHeight="1">
      <c r="C360" s="3" t="s">
        <v>1097</v>
      </c>
      <c r="D360" s="25">
        <v>45950</v>
      </c>
      <c r="E360" s="3" t="s">
        <v>20</v>
      </c>
      <c r="F360" s="3" t="s">
        <v>32</v>
      </c>
      <c r="G360" s="3" t="s">
        <v>15</v>
      </c>
      <c r="H360" s="3" t="s">
        <v>1098</v>
      </c>
      <c r="I360" s="3" t="s">
        <v>1099</v>
      </c>
      <c r="J360" s="3" t="s">
        <v>39</v>
      </c>
      <c r="K360" s="3">
        <v>1572.78</v>
      </c>
      <c r="L360" s="3">
        <v>1</v>
      </c>
      <c r="M360" s="3">
        <v>456.48</v>
      </c>
      <c r="N360" s="3">
        <v>0.28999999999999998</v>
      </c>
    </row>
    <row r="361" spans="3:14" ht="15" customHeight="1">
      <c r="C361" s="3" t="s">
        <v>1100</v>
      </c>
      <c r="D361" s="25">
        <v>45665</v>
      </c>
      <c r="E361" s="3" t="s">
        <v>28</v>
      </c>
      <c r="F361" s="3" t="s">
        <v>14</v>
      </c>
      <c r="G361" s="3" t="s">
        <v>15</v>
      </c>
      <c r="H361" s="3" t="s">
        <v>1101</v>
      </c>
      <c r="I361" s="3" t="s">
        <v>1102</v>
      </c>
      <c r="J361" s="3" t="s">
        <v>39</v>
      </c>
      <c r="K361" s="3">
        <v>526.61</v>
      </c>
      <c r="L361" s="3">
        <v>8</v>
      </c>
      <c r="M361" s="3">
        <v>66.23</v>
      </c>
      <c r="N361" s="3">
        <v>0.02</v>
      </c>
    </row>
    <row r="362" spans="3:14" ht="15" customHeight="1">
      <c r="C362" s="3" t="s">
        <v>1103</v>
      </c>
      <c r="D362" s="25">
        <v>45984</v>
      </c>
      <c r="E362" s="3" t="s">
        <v>20</v>
      </c>
      <c r="F362" s="3" t="s">
        <v>14</v>
      </c>
      <c r="G362" s="3" t="s">
        <v>15</v>
      </c>
      <c r="H362" s="3" t="s">
        <v>1104</v>
      </c>
      <c r="I362" s="3" t="s">
        <v>1105</v>
      </c>
      <c r="J362" s="3" t="s">
        <v>39</v>
      </c>
      <c r="K362" s="3">
        <v>401.31</v>
      </c>
      <c r="L362" s="3">
        <v>7</v>
      </c>
      <c r="M362" s="3">
        <v>111.76</v>
      </c>
      <c r="N362" s="3">
        <v>0.23</v>
      </c>
    </row>
    <row r="363" spans="3:14" ht="15" customHeight="1">
      <c r="C363" s="3" t="s">
        <v>1106</v>
      </c>
      <c r="D363" s="25">
        <v>45802</v>
      </c>
      <c r="E363" s="3" t="s">
        <v>28</v>
      </c>
      <c r="F363" s="3" t="s">
        <v>21</v>
      </c>
      <c r="G363" s="3" t="s">
        <v>15</v>
      </c>
      <c r="H363" s="3" t="s">
        <v>1107</v>
      </c>
      <c r="I363" s="3" t="s">
        <v>1108</v>
      </c>
      <c r="J363" s="3" t="s">
        <v>35</v>
      </c>
      <c r="K363" s="3">
        <v>499.97</v>
      </c>
      <c r="L363" s="3">
        <v>5</v>
      </c>
      <c r="M363" s="3">
        <v>86.11</v>
      </c>
      <c r="N363" s="3">
        <v>0.27</v>
      </c>
    </row>
    <row r="364" spans="3:14" ht="15" customHeight="1">
      <c r="C364" s="3" t="s">
        <v>1109</v>
      </c>
      <c r="D364" s="25">
        <v>45852</v>
      </c>
      <c r="E364" s="3" t="s">
        <v>28</v>
      </c>
      <c r="F364" s="3" t="s">
        <v>32</v>
      </c>
      <c r="G364" s="3" t="s">
        <v>15</v>
      </c>
      <c r="H364" s="3" t="s">
        <v>1110</v>
      </c>
      <c r="I364" s="3" t="s">
        <v>1111</v>
      </c>
      <c r="J364" s="3" t="s">
        <v>35</v>
      </c>
      <c r="K364" s="3">
        <v>865.98</v>
      </c>
      <c r="L364" s="3">
        <v>2</v>
      </c>
      <c r="M364" s="3">
        <v>87.84</v>
      </c>
      <c r="N364" s="3">
        <v>0.03</v>
      </c>
    </row>
    <row r="365" spans="3:14" ht="15" customHeight="1">
      <c r="C365" s="3" t="s">
        <v>1112</v>
      </c>
      <c r="D365" s="25">
        <v>45718</v>
      </c>
      <c r="E365" s="3" t="s">
        <v>20</v>
      </c>
      <c r="F365" s="3" t="s">
        <v>21</v>
      </c>
      <c r="G365" s="3" t="s">
        <v>15</v>
      </c>
      <c r="H365" s="3" t="s">
        <v>1113</v>
      </c>
      <c r="I365" s="3" t="s">
        <v>1114</v>
      </c>
      <c r="J365" s="3" t="s">
        <v>39</v>
      </c>
      <c r="K365" s="3">
        <v>614.65</v>
      </c>
      <c r="L365" s="3">
        <v>6</v>
      </c>
      <c r="M365" s="3">
        <v>168.88</v>
      </c>
      <c r="N365" s="3">
        <v>0.21</v>
      </c>
    </row>
    <row r="366" spans="3:14" ht="15" customHeight="1">
      <c r="C366" s="3" t="s">
        <v>1115</v>
      </c>
      <c r="D366" s="25">
        <v>45860</v>
      </c>
      <c r="E366" s="3" t="s">
        <v>13</v>
      </c>
      <c r="F366" s="3" t="s">
        <v>32</v>
      </c>
      <c r="G366" s="3" t="s">
        <v>15</v>
      </c>
      <c r="H366" s="3" t="s">
        <v>1116</v>
      </c>
      <c r="I366" s="3" t="s">
        <v>1117</v>
      </c>
      <c r="J366" s="3" t="s">
        <v>35</v>
      </c>
      <c r="K366" s="3">
        <v>1443</v>
      </c>
      <c r="L366" s="3">
        <v>9</v>
      </c>
      <c r="M366" s="3">
        <v>365.46</v>
      </c>
      <c r="N366" s="3">
        <v>0.08</v>
      </c>
    </row>
    <row r="367" spans="3:14" ht="15" customHeight="1">
      <c r="C367" s="3" t="s">
        <v>1118</v>
      </c>
      <c r="D367" s="25">
        <v>45767</v>
      </c>
      <c r="E367" s="3" t="s">
        <v>13</v>
      </c>
      <c r="F367" s="3" t="s">
        <v>32</v>
      </c>
      <c r="G367" s="3" t="s">
        <v>15</v>
      </c>
      <c r="H367" s="3" t="s">
        <v>1119</v>
      </c>
      <c r="I367" s="3" t="s">
        <v>1120</v>
      </c>
      <c r="J367" s="3" t="s">
        <v>39</v>
      </c>
      <c r="K367" s="3">
        <v>552.4</v>
      </c>
      <c r="L367" s="3">
        <v>4</v>
      </c>
      <c r="M367" s="3">
        <v>29.11</v>
      </c>
      <c r="N367" s="3">
        <v>0.01</v>
      </c>
    </row>
    <row r="368" spans="3:14" ht="15" customHeight="1">
      <c r="C368" s="3" t="s">
        <v>1121</v>
      </c>
      <c r="D368" s="25">
        <v>45876</v>
      </c>
      <c r="E368" s="3" t="s">
        <v>28</v>
      </c>
      <c r="F368" s="3" t="s">
        <v>21</v>
      </c>
      <c r="G368" s="3" t="s">
        <v>15</v>
      </c>
      <c r="H368" s="3" t="s">
        <v>1122</v>
      </c>
      <c r="I368" s="3" t="s">
        <v>1123</v>
      </c>
      <c r="J368" s="3" t="s">
        <v>39</v>
      </c>
      <c r="K368" s="3">
        <v>1644.46</v>
      </c>
      <c r="L368" s="3">
        <v>4</v>
      </c>
      <c r="M368" s="3">
        <v>294.88</v>
      </c>
      <c r="N368" s="3">
        <v>0.14000000000000001</v>
      </c>
    </row>
    <row r="369" spans="3:14" ht="15" customHeight="1">
      <c r="C369" s="3" t="s">
        <v>1124</v>
      </c>
      <c r="D369" s="25">
        <v>45675</v>
      </c>
      <c r="E369" s="3" t="s">
        <v>28</v>
      </c>
      <c r="F369" s="3" t="s">
        <v>21</v>
      </c>
      <c r="G369" s="3" t="s">
        <v>15</v>
      </c>
      <c r="H369" s="3" t="s">
        <v>1125</v>
      </c>
      <c r="I369" s="3" t="s">
        <v>1126</v>
      </c>
      <c r="J369" s="3" t="s">
        <v>35</v>
      </c>
      <c r="K369" s="3">
        <v>1761.83</v>
      </c>
      <c r="L369" s="3">
        <v>6</v>
      </c>
      <c r="M369" s="3">
        <v>171.94</v>
      </c>
      <c r="N369" s="3">
        <v>0.01</v>
      </c>
    </row>
    <row r="370" spans="3:14" ht="15" customHeight="1">
      <c r="C370" s="3" t="s">
        <v>1127</v>
      </c>
      <c r="D370" s="25">
        <v>45788</v>
      </c>
      <c r="E370" s="3" t="s">
        <v>41</v>
      </c>
      <c r="F370" s="3" t="s">
        <v>32</v>
      </c>
      <c r="G370" s="3" t="s">
        <v>15</v>
      </c>
      <c r="H370" s="3" t="s">
        <v>1128</v>
      </c>
      <c r="I370" s="3" t="s">
        <v>1129</v>
      </c>
      <c r="J370" s="3" t="s">
        <v>18</v>
      </c>
      <c r="K370" s="3">
        <v>1954.83</v>
      </c>
      <c r="L370" s="3">
        <v>9</v>
      </c>
      <c r="M370" s="3">
        <v>717.68</v>
      </c>
      <c r="N370" s="3">
        <v>0.18</v>
      </c>
    </row>
    <row r="371" spans="3:14" ht="15" customHeight="1">
      <c r="C371" s="3" t="s">
        <v>1130</v>
      </c>
      <c r="D371" s="25">
        <v>45667</v>
      </c>
      <c r="E371" s="3" t="s">
        <v>28</v>
      </c>
      <c r="F371" s="3" t="s">
        <v>32</v>
      </c>
      <c r="G371" s="3" t="s">
        <v>15</v>
      </c>
      <c r="H371" s="3" t="s">
        <v>1131</v>
      </c>
      <c r="I371" s="3" t="s">
        <v>1132</v>
      </c>
      <c r="J371" s="3" t="s">
        <v>39</v>
      </c>
      <c r="K371" s="3">
        <v>1736.25</v>
      </c>
      <c r="L371" s="3">
        <v>7</v>
      </c>
      <c r="M371" s="3">
        <v>259.55</v>
      </c>
      <c r="N371" s="3">
        <v>0.01</v>
      </c>
    </row>
    <row r="372" spans="3:14" ht="15" customHeight="1">
      <c r="C372" s="3" t="s">
        <v>1133</v>
      </c>
      <c r="D372" s="25">
        <v>45943</v>
      </c>
      <c r="E372" s="3" t="s">
        <v>20</v>
      </c>
      <c r="F372" s="3" t="s">
        <v>21</v>
      </c>
      <c r="G372" s="3" t="s">
        <v>15</v>
      </c>
      <c r="H372" s="3" t="s">
        <v>1134</v>
      </c>
      <c r="I372" s="3" t="s">
        <v>1135</v>
      </c>
      <c r="J372" s="3" t="s">
        <v>35</v>
      </c>
      <c r="K372" s="3">
        <v>1733.33</v>
      </c>
      <c r="L372" s="3">
        <v>5</v>
      </c>
      <c r="M372" s="3">
        <v>151.26</v>
      </c>
      <c r="N372" s="3">
        <v>0.02</v>
      </c>
    </row>
    <row r="373" spans="3:14" ht="15" customHeight="1">
      <c r="C373" s="3" t="s">
        <v>1136</v>
      </c>
      <c r="D373" s="25">
        <v>45918</v>
      </c>
      <c r="E373" s="3" t="s">
        <v>20</v>
      </c>
      <c r="F373" s="3" t="s">
        <v>14</v>
      </c>
      <c r="G373" s="3" t="s">
        <v>15</v>
      </c>
      <c r="H373" s="3" t="s">
        <v>1137</v>
      </c>
      <c r="I373" s="3" t="s">
        <v>1138</v>
      </c>
      <c r="J373" s="3" t="s">
        <v>35</v>
      </c>
      <c r="K373" s="3">
        <v>1722.72</v>
      </c>
      <c r="L373" s="3">
        <v>5</v>
      </c>
      <c r="M373" s="3">
        <v>600.37</v>
      </c>
      <c r="N373" s="3">
        <v>0.18</v>
      </c>
    </row>
    <row r="374" spans="3:14" ht="15" customHeight="1">
      <c r="C374" s="3" t="s">
        <v>1139</v>
      </c>
      <c r="D374" s="25">
        <v>45951</v>
      </c>
      <c r="E374" s="3" t="s">
        <v>20</v>
      </c>
      <c r="F374" s="3" t="s">
        <v>21</v>
      </c>
      <c r="G374" s="3" t="s">
        <v>15</v>
      </c>
      <c r="H374" s="3" t="s">
        <v>1140</v>
      </c>
      <c r="I374" s="3" t="s">
        <v>1141</v>
      </c>
      <c r="J374" s="3" t="s">
        <v>39</v>
      </c>
      <c r="K374" s="3">
        <v>1852.07</v>
      </c>
      <c r="L374" s="3">
        <v>4</v>
      </c>
      <c r="M374" s="3">
        <v>656</v>
      </c>
      <c r="N374" s="3">
        <v>0.21</v>
      </c>
    </row>
    <row r="375" spans="3:14" ht="15" customHeight="1">
      <c r="C375" s="3" t="s">
        <v>1142</v>
      </c>
      <c r="D375" s="25">
        <v>45729</v>
      </c>
      <c r="E375" s="3" t="s">
        <v>20</v>
      </c>
      <c r="F375" s="3" t="s">
        <v>14</v>
      </c>
      <c r="G375" s="3" t="s">
        <v>15</v>
      </c>
      <c r="H375" s="3" t="s">
        <v>1143</v>
      </c>
      <c r="I375" s="3" t="s">
        <v>1144</v>
      </c>
      <c r="J375" s="3" t="s">
        <v>35</v>
      </c>
      <c r="K375" s="3">
        <v>126.92</v>
      </c>
      <c r="L375" s="3">
        <v>8</v>
      </c>
      <c r="M375" s="3">
        <v>28.47</v>
      </c>
      <c r="N375" s="3">
        <v>0.12</v>
      </c>
    </row>
    <row r="376" spans="3:14" ht="15" customHeight="1">
      <c r="C376" s="3" t="s">
        <v>1145</v>
      </c>
      <c r="D376" s="25">
        <v>46000</v>
      </c>
      <c r="E376" s="3" t="s">
        <v>20</v>
      </c>
      <c r="F376" s="3" t="s">
        <v>32</v>
      </c>
      <c r="G376" s="3" t="s">
        <v>15</v>
      </c>
      <c r="H376" s="3" t="s">
        <v>1146</v>
      </c>
      <c r="I376" s="3" t="s">
        <v>1147</v>
      </c>
      <c r="J376" s="3" t="s">
        <v>35</v>
      </c>
      <c r="K376" s="3">
        <v>1353.98</v>
      </c>
      <c r="L376" s="3">
        <v>3</v>
      </c>
      <c r="M376" s="3">
        <v>492.62</v>
      </c>
      <c r="N376" s="3">
        <v>0.19</v>
      </c>
    </row>
    <row r="377" spans="3:14" ht="15" customHeight="1">
      <c r="C377" s="3" t="s">
        <v>1148</v>
      </c>
      <c r="D377" s="25">
        <v>45971</v>
      </c>
      <c r="E377" s="3" t="s">
        <v>13</v>
      </c>
      <c r="F377" s="3" t="s">
        <v>21</v>
      </c>
      <c r="G377" s="3" t="s">
        <v>15</v>
      </c>
      <c r="H377" s="3" t="s">
        <v>1149</v>
      </c>
      <c r="I377" s="3" t="s">
        <v>1150</v>
      </c>
      <c r="J377" s="3" t="s">
        <v>18</v>
      </c>
      <c r="K377" s="3">
        <v>658.73</v>
      </c>
      <c r="L377" s="3">
        <v>6</v>
      </c>
      <c r="M377" s="3">
        <v>239.8</v>
      </c>
      <c r="N377" s="3">
        <v>0.08</v>
      </c>
    </row>
    <row r="378" spans="3:14" ht="15" customHeight="1">
      <c r="C378" s="3" t="s">
        <v>1151</v>
      </c>
      <c r="D378" s="25">
        <v>45771</v>
      </c>
      <c r="E378" s="3" t="s">
        <v>28</v>
      </c>
      <c r="F378" s="3" t="s">
        <v>14</v>
      </c>
      <c r="G378" s="3" t="s">
        <v>15</v>
      </c>
      <c r="H378" s="3" t="s">
        <v>1152</v>
      </c>
      <c r="I378" s="3" t="s">
        <v>1153</v>
      </c>
      <c r="J378" s="3" t="s">
        <v>18</v>
      </c>
      <c r="K378" s="3">
        <v>213.88</v>
      </c>
      <c r="L378" s="3">
        <v>5</v>
      </c>
      <c r="M378" s="3">
        <v>23.76</v>
      </c>
      <c r="N378" s="3">
        <v>0.19</v>
      </c>
    </row>
    <row r="379" spans="3:14" ht="15" customHeight="1">
      <c r="C379" s="3" t="s">
        <v>1154</v>
      </c>
      <c r="D379" s="25">
        <v>45696</v>
      </c>
      <c r="E379" s="3" t="s">
        <v>20</v>
      </c>
      <c r="F379" s="3" t="s">
        <v>14</v>
      </c>
      <c r="G379" s="3" t="s">
        <v>15</v>
      </c>
      <c r="H379" s="3" t="s">
        <v>1155</v>
      </c>
      <c r="I379" s="3" t="s">
        <v>1156</v>
      </c>
      <c r="J379" s="3" t="s">
        <v>35</v>
      </c>
      <c r="K379" s="3">
        <v>838.89</v>
      </c>
      <c r="L379" s="3">
        <v>4</v>
      </c>
      <c r="M379" s="3">
        <v>160.82</v>
      </c>
      <c r="N379" s="3">
        <v>0.16</v>
      </c>
    </row>
    <row r="380" spans="3:14" ht="15" customHeight="1">
      <c r="C380" s="3" t="s">
        <v>1157</v>
      </c>
      <c r="D380" s="25">
        <v>45926</v>
      </c>
      <c r="E380" s="3" t="s">
        <v>13</v>
      </c>
      <c r="F380" s="3" t="s">
        <v>21</v>
      </c>
      <c r="G380" s="3" t="s">
        <v>15</v>
      </c>
      <c r="H380" s="3" t="s">
        <v>1158</v>
      </c>
      <c r="I380" s="3" t="s">
        <v>1159</v>
      </c>
      <c r="J380" s="3" t="s">
        <v>35</v>
      </c>
      <c r="K380" s="3">
        <v>1879.41</v>
      </c>
      <c r="L380" s="3">
        <v>9</v>
      </c>
      <c r="M380" s="3">
        <v>666.22</v>
      </c>
      <c r="N380" s="3">
        <v>0.28999999999999998</v>
      </c>
    </row>
    <row r="381" spans="3:14" ht="15" customHeight="1">
      <c r="C381" s="3" t="s">
        <v>1160</v>
      </c>
      <c r="D381" s="25">
        <v>45812</v>
      </c>
      <c r="E381" s="3" t="s">
        <v>41</v>
      </c>
      <c r="F381" s="3" t="s">
        <v>21</v>
      </c>
      <c r="G381" s="3" t="s">
        <v>15</v>
      </c>
      <c r="H381" s="3" t="s">
        <v>1161</v>
      </c>
      <c r="I381" s="3" t="s">
        <v>1162</v>
      </c>
      <c r="J381" s="3" t="s">
        <v>18</v>
      </c>
      <c r="K381" s="3">
        <v>1831.81</v>
      </c>
      <c r="L381" s="3">
        <v>5</v>
      </c>
      <c r="M381" s="3">
        <v>615.88</v>
      </c>
      <c r="N381" s="3">
        <v>0.12</v>
      </c>
    </row>
    <row r="382" spans="3:14" ht="15" customHeight="1">
      <c r="C382" s="3" t="s">
        <v>1163</v>
      </c>
      <c r="D382" s="25">
        <v>46013</v>
      </c>
      <c r="E382" s="3" t="s">
        <v>13</v>
      </c>
      <c r="F382" s="3" t="s">
        <v>32</v>
      </c>
      <c r="G382" s="3" t="s">
        <v>15</v>
      </c>
      <c r="H382" s="3" t="s">
        <v>1164</v>
      </c>
      <c r="I382" s="3" t="s">
        <v>1165</v>
      </c>
      <c r="J382" s="3" t="s">
        <v>39</v>
      </c>
      <c r="K382" s="3">
        <v>756.81</v>
      </c>
      <c r="L382" s="3">
        <v>4</v>
      </c>
      <c r="M382" s="3">
        <v>287.33999999999997</v>
      </c>
      <c r="N382" s="3">
        <v>0.03</v>
      </c>
    </row>
    <row r="383" spans="3:14" ht="15" customHeight="1">
      <c r="C383" s="3" t="s">
        <v>1166</v>
      </c>
      <c r="D383" s="25">
        <v>45781</v>
      </c>
      <c r="E383" s="3" t="s">
        <v>20</v>
      </c>
      <c r="F383" s="3" t="s">
        <v>32</v>
      </c>
      <c r="G383" s="3" t="s">
        <v>15</v>
      </c>
      <c r="H383" s="3" t="s">
        <v>1167</v>
      </c>
      <c r="I383" s="3" t="s">
        <v>1168</v>
      </c>
      <c r="J383" s="3" t="s">
        <v>35</v>
      </c>
      <c r="K383" s="3">
        <v>229.02</v>
      </c>
      <c r="L383" s="3">
        <v>7</v>
      </c>
      <c r="M383" s="3">
        <v>62.65</v>
      </c>
      <c r="N383" s="3">
        <v>7.0000000000000007E-2</v>
      </c>
    </row>
    <row r="384" spans="3:14" ht="15" customHeight="1">
      <c r="C384" s="3" t="s">
        <v>1169</v>
      </c>
      <c r="D384" s="25">
        <v>45941</v>
      </c>
      <c r="E384" s="3" t="s">
        <v>41</v>
      </c>
      <c r="F384" s="3" t="s">
        <v>14</v>
      </c>
      <c r="G384" s="3" t="s">
        <v>15</v>
      </c>
      <c r="H384" s="3" t="s">
        <v>1170</v>
      </c>
      <c r="I384" s="3" t="s">
        <v>1171</v>
      </c>
      <c r="J384" s="3" t="s">
        <v>18</v>
      </c>
      <c r="K384" s="3">
        <v>1362.44</v>
      </c>
      <c r="L384" s="3">
        <v>9</v>
      </c>
      <c r="M384" s="3">
        <v>420.73</v>
      </c>
      <c r="N384" s="3">
        <v>0.05</v>
      </c>
    </row>
    <row r="385" spans="3:14" ht="15" customHeight="1">
      <c r="C385" s="3" t="s">
        <v>1172</v>
      </c>
      <c r="D385" s="25">
        <v>45854</v>
      </c>
      <c r="E385" s="3" t="s">
        <v>20</v>
      </c>
      <c r="F385" s="3" t="s">
        <v>32</v>
      </c>
      <c r="G385" s="3" t="s">
        <v>15</v>
      </c>
      <c r="H385" s="3" t="s">
        <v>1173</v>
      </c>
      <c r="I385" s="3" t="s">
        <v>1174</v>
      </c>
      <c r="J385" s="3" t="s">
        <v>18</v>
      </c>
      <c r="K385" s="3">
        <v>894.09</v>
      </c>
      <c r="L385" s="3">
        <v>6</v>
      </c>
      <c r="M385" s="3">
        <v>284.69</v>
      </c>
      <c r="N385" s="3">
        <v>0.15</v>
      </c>
    </row>
    <row r="386" spans="3:14" ht="15" customHeight="1">
      <c r="C386" s="3" t="s">
        <v>1175</v>
      </c>
      <c r="D386" s="25">
        <v>45768</v>
      </c>
      <c r="E386" s="3" t="s">
        <v>13</v>
      </c>
      <c r="F386" s="3" t="s">
        <v>21</v>
      </c>
      <c r="G386" s="3" t="s">
        <v>15</v>
      </c>
      <c r="H386" s="3" t="s">
        <v>1176</v>
      </c>
      <c r="I386" s="3" t="s">
        <v>1177</v>
      </c>
      <c r="J386" s="3" t="s">
        <v>18</v>
      </c>
      <c r="K386" s="3">
        <v>1303.0999999999999</v>
      </c>
      <c r="L386" s="3">
        <v>4</v>
      </c>
      <c r="M386" s="3">
        <v>165.57</v>
      </c>
      <c r="N386" s="3">
        <v>0.26</v>
      </c>
    </row>
    <row r="387" spans="3:14" ht="15" customHeight="1">
      <c r="C387" s="3" t="s">
        <v>1178</v>
      </c>
      <c r="D387" s="25">
        <v>45985</v>
      </c>
      <c r="E387" s="3" t="s">
        <v>20</v>
      </c>
      <c r="F387" s="3" t="s">
        <v>21</v>
      </c>
      <c r="G387" s="3" t="s">
        <v>15</v>
      </c>
      <c r="H387" s="3" t="s">
        <v>1179</v>
      </c>
      <c r="I387" s="3" t="s">
        <v>1180</v>
      </c>
      <c r="J387" s="3" t="s">
        <v>35</v>
      </c>
      <c r="K387" s="3">
        <v>1838.1</v>
      </c>
      <c r="L387" s="3">
        <v>2</v>
      </c>
      <c r="M387" s="3">
        <v>250.96</v>
      </c>
      <c r="N387" s="3">
        <v>0.22</v>
      </c>
    </row>
    <row r="388" spans="3:14" ht="15" customHeight="1">
      <c r="C388" s="3" t="s">
        <v>1181</v>
      </c>
      <c r="D388" s="25">
        <v>45663</v>
      </c>
      <c r="E388" s="3" t="s">
        <v>28</v>
      </c>
      <c r="F388" s="3" t="s">
        <v>14</v>
      </c>
      <c r="G388" s="3" t="s">
        <v>15</v>
      </c>
      <c r="H388" s="3" t="s">
        <v>1182</v>
      </c>
      <c r="I388" s="3" t="s">
        <v>1183</v>
      </c>
      <c r="J388" s="3" t="s">
        <v>18</v>
      </c>
      <c r="K388" s="3">
        <v>1129.83</v>
      </c>
      <c r="L388" s="3">
        <v>4</v>
      </c>
      <c r="M388" s="3">
        <v>136.41</v>
      </c>
      <c r="N388" s="3">
        <v>0.05</v>
      </c>
    </row>
    <row r="389" spans="3:14" ht="15" customHeight="1">
      <c r="C389" s="3" t="s">
        <v>1184</v>
      </c>
      <c r="D389" s="25">
        <v>46007</v>
      </c>
      <c r="E389" s="3" t="s">
        <v>20</v>
      </c>
      <c r="F389" s="3" t="s">
        <v>32</v>
      </c>
      <c r="G389" s="3" t="s">
        <v>15</v>
      </c>
      <c r="H389" s="3" t="s">
        <v>1185</v>
      </c>
      <c r="I389" s="3" t="s">
        <v>1186</v>
      </c>
      <c r="J389" s="3" t="s">
        <v>18</v>
      </c>
      <c r="K389" s="3">
        <v>1547.46</v>
      </c>
      <c r="L389" s="3">
        <v>1</v>
      </c>
      <c r="M389" s="3">
        <v>106.77</v>
      </c>
      <c r="N389" s="3">
        <v>0.13</v>
      </c>
    </row>
    <row r="390" spans="3:14" ht="15" customHeight="1">
      <c r="C390" s="3" t="s">
        <v>1187</v>
      </c>
      <c r="D390" s="25">
        <v>45697</v>
      </c>
      <c r="E390" s="3" t="s">
        <v>13</v>
      </c>
      <c r="F390" s="3" t="s">
        <v>14</v>
      </c>
      <c r="G390" s="3" t="s">
        <v>15</v>
      </c>
      <c r="H390" s="3" t="s">
        <v>1188</v>
      </c>
      <c r="I390" s="3" t="s">
        <v>1189</v>
      </c>
      <c r="J390" s="3" t="s">
        <v>18</v>
      </c>
      <c r="K390" s="3">
        <v>793.65</v>
      </c>
      <c r="L390" s="3">
        <v>4</v>
      </c>
      <c r="M390" s="3">
        <v>312.67</v>
      </c>
      <c r="N390" s="3">
        <v>0.09</v>
      </c>
    </row>
    <row r="391" spans="3:14" ht="15" customHeight="1">
      <c r="C391" s="3" t="s">
        <v>1190</v>
      </c>
      <c r="D391" s="25">
        <v>46016</v>
      </c>
      <c r="E391" s="3" t="s">
        <v>28</v>
      </c>
      <c r="F391" s="3" t="s">
        <v>21</v>
      </c>
      <c r="G391" s="3" t="s">
        <v>15</v>
      </c>
      <c r="H391" s="3" t="s">
        <v>1191</v>
      </c>
      <c r="I391" s="3" t="s">
        <v>1192</v>
      </c>
      <c r="J391" s="3" t="s">
        <v>18</v>
      </c>
      <c r="K391" s="3">
        <v>582.22</v>
      </c>
      <c r="L391" s="3">
        <v>10</v>
      </c>
      <c r="M391" s="3">
        <v>164.4</v>
      </c>
      <c r="N391" s="3">
        <v>0.09</v>
      </c>
    </row>
    <row r="392" spans="3:14" ht="15" customHeight="1">
      <c r="C392" s="3" t="s">
        <v>1193</v>
      </c>
      <c r="D392" s="25">
        <v>45931</v>
      </c>
      <c r="E392" s="3" t="s">
        <v>41</v>
      </c>
      <c r="F392" s="3" t="s">
        <v>32</v>
      </c>
      <c r="G392" s="3" t="s">
        <v>15</v>
      </c>
      <c r="H392" s="3" t="s">
        <v>1194</v>
      </c>
      <c r="I392" s="3" t="s">
        <v>1195</v>
      </c>
      <c r="J392" s="3" t="s">
        <v>35</v>
      </c>
      <c r="K392" s="3">
        <v>877.94</v>
      </c>
      <c r="L392" s="3">
        <v>4</v>
      </c>
      <c r="M392" s="3">
        <v>53.13</v>
      </c>
      <c r="N392" s="3">
        <v>0.19</v>
      </c>
    </row>
    <row r="393" spans="3:14" ht="15" customHeight="1">
      <c r="C393" s="3" t="s">
        <v>1196</v>
      </c>
      <c r="D393" s="25">
        <v>45874</v>
      </c>
      <c r="E393" s="3" t="s">
        <v>41</v>
      </c>
      <c r="F393" s="3" t="s">
        <v>14</v>
      </c>
      <c r="G393" s="3" t="s">
        <v>15</v>
      </c>
      <c r="H393" s="3" t="s">
        <v>1197</v>
      </c>
      <c r="I393" s="3" t="s">
        <v>1198</v>
      </c>
      <c r="J393" s="3" t="s">
        <v>39</v>
      </c>
      <c r="K393" s="3">
        <v>240.46</v>
      </c>
      <c r="L393" s="3">
        <v>2</v>
      </c>
      <c r="M393" s="3">
        <v>47.42</v>
      </c>
      <c r="N393" s="3">
        <v>0.12</v>
      </c>
    </row>
    <row r="394" spans="3:14" ht="15" customHeight="1">
      <c r="C394" s="3" t="s">
        <v>1199</v>
      </c>
      <c r="D394" s="25">
        <v>45794</v>
      </c>
      <c r="E394" s="3" t="s">
        <v>20</v>
      </c>
      <c r="F394" s="3" t="s">
        <v>21</v>
      </c>
      <c r="G394" s="3" t="s">
        <v>15</v>
      </c>
      <c r="H394" s="3" t="s">
        <v>1200</v>
      </c>
      <c r="I394" s="3" t="s">
        <v>1201</v>
      </c>
      <c r="J394" s="3" t="s">
        <v>35</v>
      </c>
      <c r="K394" s="3">
        <v>1773.6</v>
      </c>
      <c r="L394" s="3">
        <v>2</v>
      </c>
      <c r="M394" s="3">
        <v>406.2</v>
      </c>
      <c r="N394" s="3">
        <v>0.04</v>
      </c>
    </row>
    <row r="395" spans="3:14" ht="15" customHeight="1">
      <c r="C395" s="3" t="s">
        <v>1202</v>
      </c>
      <c r="D395" s="25">
        <v>46015</v>
      </c>
      <c r="E395" s="3" t="s">
        <v>41</v>
      </c>
      <c r="F395" s="3" t="s">
        <v>14</v>
      </c>
      <c r="G395" s="3" t="s">
        <v>15</v>
      </c>
      <c r="H395" s="3" t="s">
        <v>1203</v>
      </c>
      <c r="I395" s="3" t="s">
        <v>1204</v>
      </c>
      <c r="J395" s="3" t="s">
        <v>35</v>
      </c>
      <c r="K395" s="3">
        <v>1114.8499999999999</v>
      </c>
      <c r="L395" s="3">
        <v>4</v>
      </c>
      <c r="M395" s="3">
        <v>366.15</v>
      </c>
      <c r="N395" s="3">
        <v>0.21</v>
      </c>
    </row>
    <row r="396" spans="3:14" ht="15" customHeight="1">
      <c r="C396" s="3" t="s">
        <v>1205</v>
      </c>
      <c r="D396" s="25">
        <v>45704</v>
      </c>
      <c r="E396" s="3" t="s">
        <v>13</v>
      </c>
      <c r="F396" s="3" t="s">
        <v>14</v>
      </c>
      <c r="G396" s="3" t="s">
        <v>15</v>
      </c>
      <c r="H396" s="3" t="s">
        <v>1206</v>
      </c>
      <c r="I396" s="3" t="s">
        <v>1207</v>
      </c>
      <c r="J396" s="3" t="s">
        <v>18</v>
      </c>
      <c r="K396" s="3">
        <v>845.46</v>
      </c>
      <c r="L396" s="3">
        <v>10</v>
      </c>
      <c r="M396" s="3">
        <v>172.33</v>
      </c>
      <c r="N396" s="3">
        <v>7.0000000000000007E-2</v>
      </c>
    </row>
    <row r="397" spans="3:14" ht="15" customHeight="1">
      <c r="C397" s="3" t="s">
        <v>1208</v>
      </c>
      <c r="D397" s="25">
        <v>45694</v>
      </c>
      <c r="E397" s="3" t="s">
        <v>41</v>
      </c>
      <c r="F397" s="3" t="s">
        <v>14</v>
      </c>
      <c r="G397" s="3" t="s">
        <v>15</v>
      </c>
      <c r="H397" s="3" t="s">
        <v>1209</v>
      </c>
      <c r="I397" s="3" t="s">
        <v>1210</v>
      </c>
      <c r="J397" s="3" t="s">
        <v>35</v>
      </c>
      <c r="K397" s="3">
        <v>1549.76</v>
      </c>
      <c r="L397" s="3">
        <v>7</v>
      </c>
      <c r="M397" s="3">
        <v>191.38</v>
      </c>
      <c r="N397" s="3">
        <v>0.11</v>
      </c>
    </row>
    <row r="398" spans="3:14" ht="15" customHeight="1">
      <c r="C398" s="3" t="s">
        <v>1211</v>
      </c>
      <c r="D398" s="25">
        <v>46001</v>
      </c>
      <c r="E398" s="3" t="s">
        <v>41</v>
      </c>
      <c r="F398" s="3" t="s">
        <v>21</v>
      </c>
      <c r="G398" s="3" t="s">
        <v>15</v>
      </c>
      <c r="H398" s="3" t="s">
        <v>1212</v>
      </c>
      <c r="I398" s="3" t="s">
        <v>1213</v>
      </c>
      <c r="J398" s="3" t="s">
        <v>39</v>
      </c>
      <c r="K398" s="3">
        <v>1237.47</v>
      </c>
      <c r="L398" s="3">
        <v>7</v>
      </c>
      <c r="M398" s="3">
        <v>67.819999999999993</v>
      </c>
      <c r="N398" s="3">
        <v>0.13</v>
      </c>
    </row>
    <row r="399" spans="3:14" ht="15" customHeight="1">
      <c r="C399" s="3" t="s">
        <v>1214</v>
      </c>
      <c r="D399" s="25">
        <v>45664</v>
      </c>
      <c r="E399" s="3" t="s">
        <v>41</v>
      </c>
      <c r="F399" s="3" t="s">
        <v>14</v>
      </c>
      <c r="G399" s="3" t="s">
        <v>15</v>
      </c>
      <c r="H399" s="3" t="s">
        <v>1215</v>
      </c>
      <c r="I399" s="3" t="s">
        <v>1216</v>
      </c>
      <c r="J399" s="3" t="s">
        <v>35</v>
      </c>
      <c r="K399" s="3">
        <v>642.26</v>
      </c>
      <c r="L399" s="3">
        <v>4</v>
      </c>
      <c r="M399" s="3">
        <v>216.4</v>
      </c>
      <c r="N399" s="3">
        <v>0.24</v>
      </c>
    </row>
    <row r="400" spans="3:14" ht="15" customHeight="1">
      <c r="C400" s="3" t="s">
        <v>1217</v>
      </c>
      <c r="D400" s="25">
        <v>45876</v>
      </c>
      <c r="E400" s="3" t="s">
        <v>41</v>
      </c>
      <c r="F400" s="3" t="s">
        <v>14</v>
      </c>
      <c r="G400" s="3" t="s">
        <v>15</v>
      </c>
      <c r="H400" s="3" t="s">
        <v>1218</v>
      </c>
      <c r="I400" s="3" t="s">
        <v>1219</v>
      </c>
      <c r="J400" s="3" t="s">
        <v>35</v>
      </c>
      <c r="K400" s="3">
        <v>439.21</v>
      </c>
      <c r="L400" s="3">
        <v>8</v>
      </c>
      <c r="M400" s="3">
        <v>58.18</v>
      </c>
      <c r="N400" s="3">
        <v>0.1</v>
      </c>
    </row>
    <row r="401" spans="3:14" ht="15" customHeight="1">
      <c r="C401" s="3" t="s">
        <v>1220</v>
      </c>
      <c r="D401" s="25">
        <v>45727</v>
      </c>
      <c r="E401" s="3" t="s">
        <v>28</v>
      </c>
      <c r="F401" s="3" t="s">
        <v>21</v>
      </c>
      <c r="G401" s="3" t="s">
        <v>15</v>
      </c>
      <c r="H401" s="3" t="s">
        <v>1221</v>
      </c>
      <c r="I401" s="3" t="s">
        <v>1222</v>
      </c>
      <c r="J401" s="3" t="s">
        <v>35</v>
      </c>
      <c r="K401" s="3">
        <v>1638.6</v>
      </c>
      <c r="L401" s="3">
        <v>6</v>
      </c>
      <c r="M401" s="3">
        <v>600.12</v>
      </c>
      <c r="N401" s="3">
        <v>7.0000000000000007E-2</v>
      </c>
    </row>
  </sheetData>
  <conditionalFormatting sqref="F2:F401">
    <cfRule type="containsText" dxfId="2" priority="2" operator="containsText" text="Office Supplies">
      <formula>NOT(ISERROR(SEARCH("Office Supplies",F2)))</formula>
    </cfRule>
  </conditionalFormatting>
  <conditionalFormatting sqref="K2:K401">
    <cfRule type="cellIs" dxfId="1" priority="3" operator="greaterThan">
      <formula>1000</formula>
    </cfRule>
  </conditionalFormatting>
  <conditionalFormatting sqref="M2:M401">
    <cfRule type="cellIs" dxfId="0" priority="1" operator="between">
      <formula>500</formula>
      <formula>1000</formula>
    </cfRule>
  </conditionalFormatting>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E100"/>
  <sheetViews>
    <sheetView workbookViewId="0">
      <selection activeCell="D9" sqref="D9"/>
    </sheetView>
  </sheetViews>
  <sheetFormatPr defaultColWidth="14.44140625" defaultRowHeight="15" customHeight="1"/>
  <cols>
    <col min="1" max="1" width="44.77734375" bestFit="1" customWidth="1"/>
    <col min="2" max="2" width="9.6640625" bestFit="1" customWidth="1"/>
    <col min="3" max="5" width="6.77734375" bestFit="1" customWidth="1"/>
    <col min="6" max="11" width="8.6640625" customWidth="1"/>
  </cols>
  <sheetData>
    <row r="1" spans="1:5" ht="14.4">
      <c r="A1" s="13" t="s">
        <v>1223</v>
      </c>
      <c r="B1" s="16" t="s">
        <v>0</v>
      </c>
      <c r="C1" s="16" t="s">
        <v>1224</v>
      </c>
      <c r="D1" s="16" t="s">
        <v>1225</v>
      </c>
      <c r="E1" s="16" t="s">
        <v>1226</v>
      </c>
    </row>
    <row r="2" spans="1:5" ht="14.4">
      <c r="A2" s="14" t="s">
        <v>1246</v>
      </c>
      <c r="B2" s="3" t="str">
        <f>'01_Main_Dataset'!A2</f>
        <v>ORD00002</v>
      </c>
      <c r="C2" s="3" t="str">
        <f>IF('01_Main_Dataset'!K2&gt;0,"Profit","Loss")</f>
        <v>Profit</v>
      </c>
      <c r="D2" s="3" t="str">
        <f>IF('01_Main_Dataset'!I2&gt;1000,"High","Low")</f>
        <v>Low</v>
      </c>
      <c r="E2" s="3">
        <f>'01_Main_Dataset'!L2</f>
        <v>0.1</v>
      </c>
    </row>
    <row r="3" spans="1:5" ht="14.4">
      <c r="A3" s="14" t="s">
        <v>1247</v>
      </c>
      <c r="B3" s="3" t="str">
        <f>'01_Main_Dataset'!A3</f>
        <v>ORD00003</v>
      </c>
      <c r="C3" s="3" t="str">
        <f>IF('01_Main_Dataset'!K3&gt;0,"Profit","Loss")</f>
        <v>Profit</v>
      </c>
      <c r="D3" s="3" t="str">
        <f>IF('01_Main_Dataset'!I3&gt;1000,"High","Low")</f>
        <v>Low</v>
      </c>
      <c r="E3" s="3">
        <f>'01_Main_Dataset'!L3</f>
        <v>0.08</v>
      </c>
    </row>
    <row r="4" spans="1:5" ht="14.4">
      <c r="A4" s="14" t="s">
        <v>1248</v>
      </c>
      <c r="B4" s="3" t="str">
        <f>'01_Main_Dataset'!A4</f>
        <v>ORD00004</v>
      </c>
      <c r="C4" s="3" t="str">
        <f>IF('01_Main_Dataset'!K4&gt;0,"Profit","Loss")</f>
        <v>Profit</v>
      </c>
      <c r="D4" s="3" t="str">
        <f>IF('01_Main_Dataset'!I4&gt;1000,"High","Low")</f>
        <v>Low</v>
      </c>
      <c r="E4" s="3">
        <f>'01_Main_Dataset'!L4</f>
        <v>0.08</v>
      </c>
    </row>
    <row r="5" spans="1:5" ht="14.4">
      <c r="A5" s="14" t="s">
        <v>1249</v>
      </c>
      <c r="B5" s="3" t="str">
        <f>'01_Main_Dataset'!A5</f>
        <v>ORD00005</v>
      </c>
      <c r="C5" s="3" t="str">
        <f>IF('01_Main_Dataset'!K5&gt;0,"Profit","Loss")</f>
        <v>Profit</v>
      </c>
      <c r="D5" s="3" t="str">
        <f>IF('01_Main_Dataset'!I5&gt;1000,"High","Low")</f>
        <v>Low</v>
      </c>
      <c r="E5" s="3">
        <f>'01_Main_Dataset'!L5</f>
        <v>0.1</v>
      </c>
    </row>
    <row r="6" spans="1:5" thickBot="1">
      <c r="A6" s="15" t="s">
        <v>1250</v>
      </c>
      <c r="B6" s="3" t="str">
        <f>'01_Main_Dataset'!A6</f>
        <v>ORD00006</v>
      </c>
      <c r="C6" s="3" t="str">
        <f>IF('01_Main_Dataset'!K6&gt;0,"Profit","Loss")</f>
        <v>Profit</v>
      </c>
      <c r="D6" s="3" t="str">
        <f>IF('01_Main_Dataset'!I6&gt;1000,"High","Low")</f>
        <v>High</v>
      </c>
      <c r="E6" s="3">
        <f>'01_Main_Dataset'!L6</f>
        <v>0.06</v>
      </c>
    </row>
    <row r="7" spans="1:5" ht="14.4">
      <c r="B7" s="3" t="str">
        <f>'01_Main_Dataset'!A7</f>
        <v>ORD00007</v>
      </c>
      <c r="C7" s="3" t="str">
        <f>IF('01_Main_Dataset'!K7&gt;0,"Profit","Loss")</f>
        <v>Profit</v>
      </c>
      <c r="D7" s="3" t="str">
        <f>IF('01_Main_Dataset'!I7&gt;1000,"High","Low")</f>
        <v>Low</v>
      </c>
      <c r="E7" s="3">
        <f>'01_Main_Dataset'!L7</f>
        <v>0.17</v>
      </c>
    </row>
    <row r="8" spans="1:5" ht="14.4">
      <c r="B8" s="3" t="str">
        <f>'01_Main_Dataset'!A8</f>
        <v>ORD00008</v>
      </c>
      <c r="C8" s="3" t="str">
        <f>IF('01_Main_Dataset'!K8&gt;0,"Profit","Loss")</f>
        <v>Profit</v>
      </c>
      <c r="D8" s="3" t="str">
        <f>IF('01_Main_Dataset'!I8&gt;1000,"High","Low")</f>
        <v>High</v>
      </c>
      <c r="E8" s="3">
        <f>'01_Main_Dataset'!L8</f>
        <v>7.0000000000000007E-2</v>
      </c>
    </row>
    <row r="9" spans="1:5" ht="14.4">
      <c r="B9" s="3" t="str">
        <f>'01_Main_Dataset'!A9</f>
        <v>ORD00009</v>
      </c>
      <c r="C9" s="3" t="str">
        <f>IF('01_Main_Dataset'!K9&gt;0,"Profit","Loss")</f>
        <v>Profit</v>
      </c>
      <c r="D9" s="3" t="str">
        <f>IF('01_Main_Dataset'!I9&gt;1000,"High","Low")</f>
        <v>High</v>
      </c>
      <c r="E9" s="3">
        <f>'01_Main_Dataset'!L9</f>
        <v>0.21</v>
      </c>
    </row>
    <row r="10" spans="1:5" ht="14.4">
      <c r="B10" s="3" t="str">
        <f>'01_Main_Dataset'!A10</f>
        <v>ORD00010</v>
      </c>
      <c r="C10" s="3" t="str">
        <f>IF('01_Main_Dataset'!K10&gt;0,"Profit","Loss")</f>
        <v>Profit</v>
      </c>
      <c r="D10" s="3" t="str">
        <f>IF('01_Main_Dataset'!I10&gt;1000,"High","Low")</f>
        <v>Low</v>
      </c>
      <c r="E10" s="3">
        <f>'01_Main_Dataset'!L10</f>
        <v>0.17</v>
      </c>
    </row>
    <row r="11" spans="1:5" ht="14.4">
      <c r="B11" s="3" t="str">
        <f>'01_Main_Dataset'!A11</f>
        <v>ORD00011</v>
      </c>
      <c r="C11" s="3" t="str">
        <f>IF('01_Main_Dataset'!K11&gt;0,"Profit","Loss")</f>
        <v>Profit</v>
      </c>
      <c r="D11" s="3" t="str">
        <f>IF('01_Main_Dataset'!I11&gt;1000,"High","Low")</f>
        <v>High</v>
      </c>
      <c r="E11" s="3">
        <f>'01_Main_Dataset'!L11</f>
        <v>0.21</v>
      </c>
    </row>
    <row r="12" spans="1:5" ht="14.4">
      <c r="B12" s="3" t="str">
        <f>'01_Main_Dataset'!A12</f>
        <v>ORD00012</v>
      </c>
      <c r="C12" s="3" t="str">
        <f>IF('01_Main_Dataset'!K12&gt;0,"Profit","Loss")</f>
        <v>Profit</v>
      </c>
      <c r="D12" s="3" t="str">
        <f>IF('01_Main_Dataset'!I12&gt;1000,"High","Low")</f>
        <v>High</v>
      </c>
      <c r="E12" s="3">
        <f>'01_Main_Dataset'!L12</f>
        <v>0.18</v>
      </c>
    </row>
    <row r="13" spans="1:5" ht="14.4">
      <c r="B13" s="3" t="str">
        <f>'01_Main_Dataset'!A13</f>
        <v>ORD00013</v>
      </c>
      <c r="C13" s="3" t="str">
        <f>IF('01_Main_Dataset'!K13&gt;0,"Profit","Loss")</f>
        <v>Profit</v>
      </c>
      <c r="D13" s="3" t="str">
        <f>IF('01_Main_Dataset'!I13&gt;1000,"High","Low")</f>
        <v>High</v>
      </c>
      <c r="E13" s="3">
        <f>'01_Main_Dataset'!L13</f>
        <v>0.1</v>
      </c>
    </row>
    <row r="14" spans="1:5" ht="14.4">
      <c r="B14" s="3" t="str">
        <f>'01_Main_Dataset'!A14</f>
        <v>ORD00014</v>
      </c>
      <c r="C14" s="3" t="str">
        <f>IF('01_Main_Dataset'!K14&gt;0,"Profit","Loss")</f>
        <v>Profit</v>
      </c>
      <c r="D14" s="3" t="str">
        <f>IF('01_Main_Dataset'!I14&gt;1000,"High","Low")</f>
        <v>Low</v>
      </c>
      <c r="E14" s="3">
        <f>'01_Main_Dataset'!L14</f>
        <v>0.12</v>
      </c>
    </row>
    <row r="15" spans="1:5" ht="14.4">
      <c r="B15" s="3" t="str">
        <f>'01_Main_Dataset'!A15</f>
        <v>ORD00015</v>
      </c>
      <c r="C15" s="3" t="str">
        <f>IF('01_Main_Dataset'!K15&gt;0,"Profit","Loss")</f>
        <v>Profit</v>
      </c>
      <c r="D15" s="3" t="str">
        <f>IF('01_Main_Dataset'!I15&gt;1000,"High","Low")</f>
        <v>Low</v>
      </c>
      <c r="E15" s="3">
        <f>'01_Main_Dataset'!L15</f>
        <v>0.27</v>
      </c>
    </row>
    <row r="16" spans="1:5" ht="14.4">
      <c r="B16" s="3" t="str">
        <f>'01_Main_Dataset'!A16</f>
        <v>ORD00016</v>
      </c>
      <c r="C16" s="3" t="str">
        <f>IF('01_Main_Dataset'!K16&gt;0,"Profit","Loss")</f>
        <v>Profit</v>
      </c>
      <c r="D16" s="3" t="str">
        <f>IF('01_Main_Dataset'!I16&gt;1000,"High","Low")</f>
        <v>Low</v>
      </c>
      <c r="E16" s="3">
        <f>'01_Main_Dataset'!L16</f>
        <v>0.12</v>
      </c>
    </row>
    <row r="17" spans="2:5" ht="14.4">
      <c r="B17" s="3" t="str">
        <f>'01_Main_Dataset'!A17</f>
        <v>ORD00017</v>
      </c>
      <c r="C17" s="3" t="str">
        <f>IF('01_Main_Dataset'!K17&gt;0,"Profit","Loss")</f>
        <v>Profit</v>
      </c>
      <c r="D17" s="3" t="str">
        <f>IF('01_Main_Dataset'!I17&gt;1000,"High","Low")</f>
        <v>High</v>
      </c>
      <c r="E17" s="3">
        <f>'01_Main_Dataset'!L17</f>
        <v>0.25</v>
      </c>
    </row>
    <row r="18" spans="2:5" ht="14.4">
      <c r="B18" s="3" t="str">
        <f>'01_Main_Dataset'!A18</f>
        <v>ORD00018</v>
      </c>
      <c r="C18" s="3" t="str">
        <f>IF('01_Main_Dataset'!K18&gt;0,"Profit","Loss")</f>
        <v>Profit</v>
      </c>
      <c r="D18" s="3" t="str">
        <f>IF('01_Main_Dataset'!I18&gt;1000,"High","Low")</f>
        <v>High</v>
      </c>
      <c r="E18" s="3">
        <f>'01_Main_Dataset'!L18</f>
        <v>0.28000000000000003</v>
      </c>
    </row>
    <row r="19" spans="2:5" ht="14.4">
      <c r="B19" s="3" t="str">
        <f>'01_Main_Dataset'!A19</f>
        <v>ORD00019</v>
      </c>
      <c r="C19" s="3" t="str">
        <f>IF('01_Main_Dataset'!K19&gt;0,"Profit","Loss")</f>
        <v>Profit</v>
      </c>
      <c r="D19" s="3" t="str">
        <f>IF('01_Main_Dataset'!I19&gt;1000,"High","Low")</f>
        <v>Low</v>
      </c>
      <c r="E19" s="3">
        <f>'01_Main_Dataset'!L19</f>
        <v>0.13</v>
      </c>
    </row>
    <row r="20" spans="2:5" ht="14.4">
      <c r="B20" s="3" t="str">
        <f>'01_Main_Dataset'!A20</f>
        <v>ORD00020</v>
      </c>
      <c r="C20" s="3" t="str">
        <f>IF('01_Main_Dataset'!K20&gt;0,"Profit","Loss")</f>
        <v>Profit</v>
      </c>
      <c r="D20" s="3" t="str">
        <f>IF('01_Main_Dataset'!I20&gt;1000,"High","Low")</f>
        <v>High</v>
      </c>
      <c r="E20" s="3">
        <f>'01_Main_Dataset'!L20</f>
        <v>0.17</v>
      </c>
    </row>
    <row r="21" spans="2:5" ht="15.75" customHeight="1">
      <c r="B21" s="3" t="str">
        <f>'01_Main_Dataset'!A21</f>
        <v>ORD00021</v>
      </c>
      <c r="C21" s="3" t="str">
        <f>IF('01_Main_Dataset'!K21&gt;0,"Profit","Loss")</f>
        <v>Profit</v>
      </c>
      <c r="D21" s="3" t="str">
        <f>IF('01_Main_Dataset'!I21&gt;1000,"High","Low")</f>
        <v>High</v>
      </c>
      <c r="E21" s="3">
        <f>'01_Main_Dataset'!L21</f>
        <v>0.11</v>
      </c>
    </row>
    <row r="22" spans="2:5" ht="15.75" customHeight="1">
      <c r="B22" s="3" t="str">
        <f>'01_Main_Dataset'!A22</f>
        <v>ORD00022</v>
      </c>
      <c r="C22" s="3" t="str">
        <f>IF('01_Main_Dataset'!K22&gt;0,"Profit","Loss")</f>
        <v>Profit</v>
      </c>
      <c r="D22" s="3" t="str">
        <f>IF('01_Main_Dataset'!I22&gt;1000,"High","Low")</f>
        <v>Low</v>
      </c>
      <c r="E22" s="3">
        <f>'01_Main_Dataset'!L22</f>
        <v>0.27</v>
      </c>
    </row>
    <row r="23" spans="2:5" ht="15.75" customHeight="1">
      <c r="B23" s="3" t="str">
        <f>'01_Main_Dataset'!A23</f>
        <v>ORD00023</v>
      </c>
      <c r="C23" s="3" t="str">
        <f>IF('01_Main_Dataset'!K23&gt;0,"Profit","Loss")</f>
        <v>Profit</v>
      </c>
      <c r="D23" s="3" t="str">
        <f>IF('01_Main_Dataset'!I23&gt;1000,"High","Low")</f>
        <v>High</v>
      </c>
      <c r="E23" s="3">
        <f>'01_Main_Dataset'!L23</f>
        <v>0.2</v>
      </c>
    </row>
    <row r="24" spans="2:5" ht="15.75" customHeight="1">
      <c r="B24" s="3" t="str">
        <f>'01_Main_Dataset'!A24</f>
        <v>ORD00024</v>
      </c>
      <c r="C24" s="3" t="str">
        <f>IF('01_Main_Dataset'!K24&gt;0,"Profit","Loss")</f>
        <v>Profit</v>
      </c>
      <c r="D24" s="3" t="str">
        <f>IF('01_Main_Dataset'!I24&gt;1000,"High","Low")</f>
        <v>Low</v>
      </c>
      <c r="E24" s="3">
        <f>'01_Main_Dataset'!L24</f>
        <v>0.04</v>
      </c>
    </row>
    <row r="25" spans="2:5" ht="15.75" customHeight="1">
      <c r="B25" s="3" t="str">
        <f>'01_Main_Dataset'!A25</f>
        <v>ORD00025</v>
      </c>
      <c r="C25" s="3" t="str">
        <f>IF('01_Main_Dataset'!K25&gt;0,"Profit","Loss")</f>
        <v>Profit</v>
      </c>
      <c r="D25" s="3" t="str">
        <f>IF('01_Main_Dataset'!I25&gt;1000,"High","Low")</f>
        <v>High</v>
      </c>
      <c r="E25" s="3">
        <f>'01_Main_Dataset'!L25</f>
        <v>0.23</v>
      </c>
    </row>
    <row r="26" spans="2:5" ht="15.75" customHeight="1">
      <c r="B26" s="3" t="str">
        <f>'01_Main_Dataset'!A26</f>
        <v>ORD00026</v>
      </c>
      <c r="C26" s="3" t="str">
        <f>IF('01_Main_Dataset'!K26&gt;0,"Profit","Loss")</f>
        <v>Profit</v>
      </c>
      <c r="D26" s="3" t="str">
        <f>IF('01_Main_Dataset'!I26&gt;1000,"High","Low")</f>
        <v>Low</v>
      </c>
      <c r="E26" s="3">
        <f>'01_Main_Dataset'!L26</f>
        <v>0.03</v>
      </c>
    </row>
    <row r="27" spans="2:5" ht="15.75" customHeight="1">
      <c r="B27" s="3" t="str">
        <f>'01_Main_Dataset'!A27</f>
        <v>ORD00027</v>
      </c>
      <c r="C27" s="3" t="str">
        <f>IF('01_Main_Dataset'!K27&gt;0,"Profit","Loss")</f>
        <v>Profit</v>
      </c>
      <c r="D27" s="3" t="str">
        <f>IF('01_Main_Dataset'!I27&gt;1000,"High","Low")</f>
        <v>High</v>
      </c>
      <c r="E27" s="3">
        <f>'01_Main_Dataset'!L27</f>
        <v>0.04</v>
      </c>
    </row>
    <row r="28" spans="2:5" ht="15.75" customHeight="1">
      <c r="B28" s="3" t="str">
        <f>'01_Main_Dataset'!A28</f>
        <v>ORD00028</v>
      </c>
      <c r="C28" s="3" t="str">
        <f>IF('01_Main_Dataset'!K28&gt;0,"Profit","Loss")</f>
        <v>Profit</v>
      </c>
      <c r="D28" s="3" t="str">
        <f>IF('01_Main_Dataset'!I28&gt;1000,"High","Low")</f>
        <v>Low</v>
      </c>
      <c r="E28" s="3">
        <f>'01_Main_Dataset'!L28</f>
        <v>0.18</v>
      </c>
    </row>
    <row r="29" spans="2:5" ht="15.75" customHeight="1">
      <c r="B29" s="3" t="str">
        <f>'01_Main_Dataset'!A29</f>
        <v>ORD00029</v>
      </c>
      <c r="C29" s="3" t="str">
        <f>IF('01_Main_Dataset'!K29&gt;0,"Profit","Loss")</f>
        <v>Profit</v>
      </c>
      <c r="D29" s="3" t="str">
        <f>IF('01_Main_Dataset'!I29&gt;1000,"High","Low")</f>
        <v>High</v>
      </c>
      <c r="E29" s="3">
        <f>'01_Main_Dataset'!L29</f>
        <v>0.11</v>
      </c>
    </row>
    <row r="30" spans="2:5" ht="15.75" customHeight="1">
      <c r="B30" s="3" t="str">
        <f>'01_Main_Dataset'!A30</f>
        <v>ORD00030</v>
      </c>
      <c r="C30" s="3" t="str">
        <f>IF('01_Main_Dataset'!K30&gt;0,"Profit","Loss")</f>
        <v>Profit</v>
      </c>
      <c r="D30" s="3" t="str">
        <f>IF('01_Main_Dataset'!I30&gt;1000,"High","Low")</f>
        <v>Low</v>
      </c>
      <c r="E30" s="3">
        <f>'01_Main_Dataset'!L30</f>
        <v>0.25</v>
      </c>
    </row>
    <row r="31" spans="2:5" ht="15.75" customHeight="1">
      <c r="B31" s="3" t="str">
        <f>'01_Main_Dataset'!A31</f>
        <v>ORD00031</v>
      </c>
      <c r="C31" s="3" t="str">
        <f>IF('01_Main_Dataset'!K31&gt;0,"Profit","Loss")</f>
        <v>Profit</v>
      </c>
      <c r="D31" s="3" t="str">
        <f>IF('01_Main_Dataset'!I31&gt;1000,"High","Low")</f>
        <v>High</v>
      </c>
      <c r="E31" s="3">
        <f>'01_Main_Dataset'!L31</f>
        <v>0.18</v>
      </c>
    </row>
    <row r="32" spans="2:5" ht="15.75" customHeight="1">
      <c r="B32" s="3" t="str">
        <f>'01_Main_Dataset'!A32</f>
        <v>ORD00032</v>
      </c>
      <c r="C32" s="3" t="str">
        <f>IF('01_Main_Dataset'!K32&gt;0,"Profit","Loss")</f>
        <v>Profit</v>
      </c>
      <c r="D32" s="3" t="str">
        <f>IF('01_Main_Dataset'!I32&gt;1000,"High","Low")</f>
        <v>Low</v>
      </c>
      <c r="E32" s="3">
        <f>'01_Main_Dataset'!L32</f>
        <v>0.08</v>
      </c>
    </row>
    <row r="33" spans="2:5" ht="15.75" customHeight="1">
      <c r="B33" s="3" t="str">
        <f>'01_Main_Dataset'!A33</f>
        <v>ORD00033</v>
      </c>
      <c r="C33" s="3" t="str">
        <f>IF('01_Main_Dataset'!K33&gt;0,"Profit","Loss")</f>
        <v>Profit</v>
      </c>
      <c r="D33" s="3" t="str">
        <f>IF('01_Main_Dataset'!I33&gt;1000,"High","Low")</f>
        <v>High</v>
      </c>
      <c r="E33" s="3">
        <f>'01_Main_Dataset'!L33</f>
        <v>0.28000000000000003</v>
      </c>
    </row>
    <row r="34" spans="2:5" ht="15.75" customHeight="1">
      <c r="B34" s="3" t="str">
        <f>'01_Main_Dataset'!A34</f>
        <v>ORD00034</v>
      </c>
      <c r="C34" s="3" t="str">
        <f>IF('01_Main_Dataset'!K34&gt;0,"Profit","Loss")</f>
        <v>Profit</v>
      </c>
      <c r="D34" s="3" t="str">
        <f>IF('01_Main_Dataset'!I34&gt;1000,"High","Low")</f>
        <v>High</v>
      </c>
      <c r="E34" s="3">
        <f>'01_Main_Dataset'!L34</f>
        <v>0.01</v>
      </c>
    </row>
    <row r="35" spans="2:5" ht="15.75" customHeight="1">
      <c r="B35" s="3" t="str">
        <f>'01_Main_Dataset'!A35</f>
        <v>ORD00035</v>
      </c>
      <c r="C35" s="3" t="str">
        <f>IF('01_Main_Dataset'!K35&gt;0,"Profit","Loss")</f>
        <v>Profit</v>
      </c>
      <c r="D35" s="3" t="str">
        <f>IF('01_Main_Dataset'!I35&gt;1000,"High","Low")</f>
        <v>High</v>
      </c>
      <c r="E35" s="3">
        <f>'01_Main_Dataset'!L35</f>
        <v>0.25</v>
      </c>
    </row>
    <row r="36" spans="2:5" ht="15.75" customHeight="1">
      <c r="B36" s="3" t="str">
        <f>'01_Main_Dataset'!A36</f>
        <v>ORD00036</v>
      </c>
      <c r="C36" s="3" t="str">
        <f>IF('01_Main_Dataset'!K36&gt;0,"Profit","Loss")</f>
        <v>Profit</v>
      </c>
      <c r="D36" s="3" t="str">
        <f>IF('01_Main_Dataset'!I36&gt;1000,"High","Low")</f>
        <v>High</v>
      </c>
      <c r="E36" s="3">
        <f>'01_Main_Dataset'!L36</f>
        <v>0.28000000000000003</v>
      </c>
    </row>
    <row r="37" spans="2:5" ht="15.75" customHeight="1">
      <c r="B37" s="3" t="str">
        <f>'01_Main_Dataset'!A37</f>
        <v>ORD00037</v>
      </c>
      <c r="C37" s="3" t="str">
        <f>IF('01_Main_Dataset'!K37&gt;0,"Profit","Loss")</f>
        <v>Profit</v>
      </c>
      <c r="D37" s="3" t="str">
        <f>IF('01_Main_Dataset'!I37&gt;1000,"High","Low")</f>
        <v>Low</v>
      </c>
      <c r="E37" s="3">
        <f>'01_Main_Dataset'!L37</f>
        <v>0.25</v>
      </c>
    </row>
    <row r="38" spans="2:5" ht="15.75" customHeight="1">
      <c r="B38" s="3" t="str">
        <f>'01_Main_Dataset'!A38</f>
        <v>ORD00038</v>
      </c>
      <c r="C38" s="3" t="str">
        <f>IF('01_Main_Dataset'!K38&gt;0,"Profit","Loss")</f>
        <v>Profit</v>
      </c>
      <c r="D38" s="3" t="str">
        <f>IF('01_Main_Dataset'!I38&gt;1000,"High","Low")</f>
        <v>Low</v>
      </c>
      <c r="E38" s="3">
        <f>'01_Main_Dataset'!L38</f>
        <v>0.14000000000000001</v>
      </c>
    </row>
    <row r="39" spans="2:5" ht="15.75" customHeight="1">
      <c r="B39" s="3" t="str">
        <f>'01_Main_Dataset'!A39</f>
        <v>ORD00039</v>
      </c>
      <c r="C39" s="3" t="str">
        <f>IF('01_Main_Dataset'!K39&gt;0,"Profit","Loss")</f>
        <v>Profit</v>
      </c>
      <c r="D39" s="3" t="str">
        <f>IF('01_Main_Dataset'!I39&gt;1000,"High","Low")</f>
        <v>High</v>
      </c>
      <c r="E39" s="3">
        <f>'01_Main_Dataset'!L39</f>
        <v>0.24</v>
      </c>
    </row>
    <row r="40" spans="2:5" ht="15.75" customHeight="1">
      <c r="B40" s="3" t="str">
        <f>'01_Main_Dataset'!A40</f>
        <v>ORD00040</v>
      </c>
      <c r="C40" s="3" t="str">
        <f>IF('01_Main_Dataset'!K40&gt;0,"Profit","Loss")</f>
        <v>Profit</v>
      </c>
      <c r="D40" s="3" t="str">
        <f>IF('01_Main_Dataset'!I40&gt;1000,"High","Low")</f>
        <v>Low</v>
      </c>
      <c r="E40" s="3">
        <f>'01_Main_Dataset'!L40</f>
        <v>0.12</v>
      </c>
    </row>
    <row r="41" spans="2:5" ht="15.75" customHeight="1">
      <c r="B41" s="3" t="str">
        <f>'01_Main_Dataset'!A41</f>
        <v>ORD00041</v>
      </c>
      <c r="C41" s="3" t="str">
        <f>IF('01_Main_Dataset'!K41&gt;0,"Profit","Loss")</f>
        <v>Profit</v>
      </c>
      <c r="D41" s="3" t="str">
        <f>IF('01_Main_Dataset'!I41&gt;1000,"High","Low")</f>
        <v>High</v>
      </c>
      <c r="E41" s="3">
        <f>'01_Main_Dataset'!L41</f>
        <v>0.15</v>
      </c>
    </row>
    <row r="42" spans="2:5" ht="15.75" customHeight="1">
      <c r="B42" s="3" t="str">
        <f>'01_Main_Dataset'!A42</f>
        <v>ORD00042</v>
      </c>
      <c r="C42" s="3" t="str">
        <f>IF('01_Main_Dataset'!K42&gt;0,"Profit","Loss")</f>
        <v>Profit</v>
      </c>
      <c r="D42" s="3" t="str">
        <f>IF('01_Main_Dataset'!I42&gt;1000,"High","Low")</f>
        <v>High</v>
      </c>
      <c r="E42" s="3">
        <f>'01_Main_Dataset'!L42</f>
        <v>0.17</v>
      </c>
    </row>
    <row r="43" spans="2:5" ht="15.75" customHeight="1">
      <c r="B43" s="3" t="str">
        <f>'01_Main_Dataset'!A43</f>
        <v>ORD00043</v>
      </c>
      <c r="C43" s="3" t="str">
        <f>IF('01_Main_Dataset'!K43&gt;0,"Profit","Loss")</f>
        <v>Profit</v>
      </c>
      <c r="D43" s="3" t="str">
        <f>IF('01_Main_Dataset'!I43&gt;1000,"High","Low")</f>
        <v>Low</v>
      </c>
      <c r="E43" s="3">
        <f>'01_Main_Dataset'!L43</f>
        <v>0.02</v>
      </c>
    </row>
    <row r="44" spans="2:5" ht="15.75" customHeight="1">
      <c r="B44" s="3" t="str">
        <f>'01_Main_Dataset'!A44</f>
        <v>ORD00044</v>
      </c>
      <c r="C44" s="3" t="str">
        <f>IF('01_Main_Dataset'!K44&gt;0,"Profit","Loss")</f>
        <v>Profit</v>
      </c>
      <c r="D44" s="3" t="str">
        <f>IF('01_Main_Dataset'!I44&gt;1000,"High","Low")</f>
        <v>Low</v>
      </c>
      <c r="E44" s="3">
        <f>'01_Main_Dataset'!L44</f>
        <v>0.01</v>
      </c>
    </row>
    <row r="45" spans="2:5" ht="15.75" customHeight="1">
      <c r="B45" s="3" t="str">
        <f>'01_Main_Dataset'!A45</f>
        <v>ORD00045</v>
      </c>
      <c r="C45" s="3" t="str">
        <f>IF('01_Main_Dataset'!K45&gt;0,"Profit","Loss")</f>
        <v>Profit</v>
      </c>
      <c r="D45" s="3" t="str">
        <f>IF('01_Main_Dataset'!I45&gt;1000,"High","Low")</f>
        <v>High</v>
      </c>
      <c r="E45" s="3">
        <f>'01_Main_Dataset'!L45</f>
        <v>0.24</v>
      </c>
    </row>
    <row r="46" spans="2:5" ht="15.75" customHeight="1">
      <c r="B46" s="3" t="str">
        <f>'01_Main_Dataset'!A46</f>
        <v>ORD00046</v>
      </c>
      <c r="C46" s="3" t="str">
        <f>IF('01_Main_Dataset'!K46&gt;0,"Profit","Loss")</f>
        <v>Profit</v>
      </c>
      <c r="D46" s="3" t="str">
        <f>IF('01_Main_Dataset'!I46&gt;1000,"High","Low")</f>
        <v>High</v>
      </c>
      <c r="E46" s="3">
        <f>'01_Main_Dataset'!L46</f>
        <v>0.2</v>
      </c>
    </row>
    <row r="47" spans="2:5" ht="15.75" customHeight="1">
      <c r="B47" s="3" t="str">
        <f>'01_Main_Dataset'!A47</f>
        <v>ORD00047</v>
      </c>
      <c r="C47" s="3" t="str">
        <f>IF('01_Main_Dataset'!K47&gt;0,"Profit","Loss")</f>
        <v>Profit</v>
      </c>
      <c r="D47" s="3" t="str">
        <f>IF('01_Main_Dataset'!I47&gt;1000,"High","Low")</f>
        <v>Low</v>
      </c>
      <c r="E47" s="3">
        <f>'01_Main_Dataset'!L47</f>
        <v>0.05</v>
      </c>
    </row>
    <row r="48" spans="2:5" ht="15.75" customHeight="1">
      <c r="B48" s="3" t="str">
        <f>'01_Main_Dataset'!A48</f>
        <v>ORD00048</v>
      </c>
      <c r="C48" s="3" t="str">
        <f>IF('01_Main_Dataset'!K48&gt;0,"Profit","Loss")</f>
        <v>Profit</v>
      </c>
      <c r="D48" s="3" t="str">
        <f>IF('01_Main_Dataset'!I48&gt;1000,"High","Low")</f>
        <v>High</v>
      </c>
      <c r="E48" s="3">
        <f>'01_Main_Dataset'!L48</f>
        <v>0.2</v>
      </c>
    </row>
    <row r="49" spans="2:5" ht="15.75" customHeight="1">
      <c r="B49" s="3" t="str">
        <f>'01_Main_Dataset'!A49</f>
        <v>ORD00049</v>
      </c>
      <c r="C49" s="3" t="str">
        <f>IF('01_Main_Dataset'!K49&gt;0,"Profit","Loss")</f>
        <v>Profit</v>
      </c>
      <c r="D49" s="3" t="str">
        <f>IF('01_Main_Dataset'!I49&gt;1000,"High","Low")</f>
        <v>High</v>
      </c>
      <c r="E49" s="3">
        <f>'01_Main_Dataset'!L49</f>
        <v>0</v>
      </c>
    </row>
    <row r="50" spans="2:5" ht="15.75" customHeight="1">
      <c r="B50" s="3" t="str">
        <f>'01_Main_Dataset'!A50</f>
        <v>ORD00050</v>
      </c>
      <c r="C50" s="3" t="str">
        <f>IF('01_Main_Dataset'!K50&gt;0,"Profit","Loss")</f>
        <v>Profit</v>
      </c>
      <c r="D50" s="3" t="str">
        <f>IF('01_Main_Dataset'!I50&gt;1000,"High","Low")</f>
        <v>High</v>
      </c>
      <c r="E50" s="3">
        <f>'01_Main_Dataset'!L50</f>
        <v>0.12</v>
      </c>
    </row>
    <row r="51" spans="2:5" ht="15.75" customHeight="1">
      <c r="B51" s="3" t="str">
        <f>'01_Main_Dataset'!A51</f>
        <v>ORD00051</v>
      </c>
      <c r="C51" s="3" t="str">
        <f>IF('01_Main_Dataset'!K51&gt;0,"Profit","Loss")</f>
        <v>Profit</v>
      </c>
      <c r="D51" s="3" t="str">
        <f>IF('01_Main_Dataset'!I51&gt;1000,"High","Low")</f>
        <v>Low</v>
      </c>
      <c r="E51" s="3">
        <f>'01_Main_Dataset'!L51</f>
        <v>0.17</v>
      </c>
    </row>
    <row r="52" spans="2:5" ht="15.75" customHeight="1">
      <c r="B52" s="3" t="str">
        <f>'01_Main_Dataset'!A52</f>
        <v>ORD00052</v>
      </c>
      <c r="C52" s="3" t="str">
        <f>IF('01_Main_Dataset'!K52&gt;0,"Profit","Loss")</f>
        <v>Profit</v>
      </c>
      <c r="D52" s="3" t="str">
        <f>IF('01_Main_Dataset'!I52&gt;1000,"High","Low")</f>
        <v>High</v>
      </c>
      <c r="E52" s="3">
        <f>'01_Main_Dataset'!L52</f>
        <v>0.13</v>
      </c>
    </row>
    <row r="53" spans="2:5" ht="15.75" customHeight="1">
      <c r="B53" s="3" t="str">
        <f>'01_Main_Dataset'!A53</f>
        <v>ORD00053</v>
      </c>
      <c r="C53" s="3" t="str">
        <f>IF('01_Main_Dataset'!K53&gt;0,"Profit","Loss")</f>
        <v>Profit</v>
      </c>
      <c r="D53" s="3" t="str">
        <f>IF('01_Main_Dataset'!I53&gt;1000,"High","Low")</f>
        <v>Low</v>
      </c>
      <c r="E53" s="3">
        <f>'01_Main_Dataset'!L53</f>
        <v>0.27</v>
      </c>
    </row>
    <row r="54" spans="2:5" ht="15.75" customHeight="1">
      <c r="B54" s="3" t="str">
        <f>'01_Main_Dataset'!A54</f>
        <v>ORD00054</v>
      </c>
      <c r="C54" s="3" t="str">
        <f>IF('01_Main_Dataset'!K54&gt;0,"Profit","Loss")</f>
        <v>Profit</v>
      </c>
      <c r="D54" s="3" t="str">
        <f>IF('01_Main_Dataset'!I54&gt;1000,"High","Low")</f>
        <v>High</v>
      </c>
      <c r="E54" s="3">
        <f>'01_Main_Dataset'!L54</f>
        <v>0.06</v>
      </c>
    </row>
    <row r="55" spans="2:5" ht="15.75" customHeight="1">
      <c r="B55" s="3" t="str">
        <f>'01_Main_Dataset'!A55</f>
        <v>ORD00055</v>
      </c>
      <c r="C55" s="3" t="str">
        <f>IF('01_Main_Dataset'!K55&gt;0,"Profit","Loss")</f>
        <v>Profit</v>
      </c>
      <c r="D55" s="3" t="str">
        <f>IF('01_Main_Dataset'!I55&gt;1000,"High","Low")</f>
        <v>High</v>
      </c>
      <c r="E55" s="3">
        <f>'01_Main_Dataset'!L55</f>
        <v>0.02</v>
      </c>
    </row>
    <row r="56" spans="2:5" ht="15.75" customHeight="1">
      <c r="B56" s="3" t="str">
        <f>'01_Main_Dataset'!A56</f>
        <v>ORD00056</v>
      </c>
      <c r="C56" s="3" t="str">
        <f>IF('01_Main_Dataset'!K56&gt;0,"Profit","Loss")</f>
        <v>Profit</v>
      </c>
      <c r="D56" s="3" t="str">
        <f>IF('01_Main_Dataset'!I56&gt;1000,"High","Low")</f>
        <v>Low</v>
      </c>
      <c r="E56" s="3">
        <f>'01_Main_Dataset'!L56</f>
        <v>0.16</v>
      </c>
    </row>
    <row r="57" spans="2:5" ht="15.75" customHeight="1">
      <c r="B57" s="3" t="str">
        <f>'01_Main_Dataset'!A57</f>
        <v>ORD00057</v>
      </c>
      <c r="C57" s="3" t="str">
        <f>IF('01_Main_Dataset'!K57&gt;0,"Profit","Loss")</f>
        <v>Profit</v>
      </c>
      <c r="D57" s="3" t="str">
        <f>IF('01_Main_Dataset'!I57&gt;1000,"High","Low")</f>
        <v>Low</v>
      </c>
      <c r="E57" s="3">
        <f>'01_Main_Dataset'!L57</f>
        <v>0.02</v>
      </c>
    </row>
    <row r="58" spans="2:5" ht="15.75" customHeight="1">
      <c r="B58" s="3" t="str">
        <f>'01_Main_Dataset'!A58</f>
        <v>ORD00058</v>
      </c>
      <c r="C58" s="3" t="str">
        <f>IF('01_Main_Dataset'!K58&gt;0,"Profit","Loss")</f>
        <v>Profit</v>
      </c>
      <c r="D58" s="3" t="str">
        <f>IF('01_Main_Dataset'!I58&gt;1000,"High","Low")</f>
        <v>High</v>
      </c>
      <c r="E58" s="3">
        <f>'01_Main_Dataset'!L58</f>
        <v>7.0000000000000007E-2</v>
      </c>
    </row>
    <row r="59" spans="2:5" ht="15.75" customHeight="1">
      <c r="B59" s="3" t="str">
        <f>'01_Main_Dataset'!A59</f>
        <v>ORD00059</v>
      </c>
      <c r="C59" s="3" t="str">
        <f>IF('01_Main_Dataset'!K59&gt;0,"Profit","Loss")</f>
        <v>Profit</v>
      </c>
      <c r="D59" s="3" t="str">
        <f>IF('01_Main_Dataset'!I59&gt;1000,"High","Low")</f>
        <v>Low</v>
      </c>
      <c r="E59" s="3">
        <f>'01_Main_Dataset'!L59</f>
        <v>0.26</v>
      </c>
    </row>
    <row r="60" spans="2:5" ht="15.75" customHeight="1">
      <c r="B60" s="3" t="str">
        <f>'01_Main_Dataset'!A60</f>
        <v>ORD00060</v>
      </c>
      <c r="C60" s="3" t="str">
        <f>IF('01_Main_Dataset'!K60&gt;0,"Profit","Loss")</f>
        <v>Profit</v>
      </c>
      <c r="D60" s="3" t="str">
        <f>IF('01_Main_Dataset'!I60&gt;1000,"High","Low")</f>
        <v>Low</v>
      </c>
      <c r="E60" s="3">
        <f>'01_Main_Dataset'!L60</f>
        <v>0.16</v>
      </c>
    </row>
    <row r="61" spans="2:5" ht="15.75" customHeight="1">
      <c r="B61" s="3" t="str">
        <f>'01_Main_Dataset'!A61</f>
        <v>ORD00061</v>
      </c>
      <c r="C61" s="3" t="str">
        <f>IF('01_Main_Dataset'!K61&gt;0,"Profit","Loss")</f>
        <v>Profit</v>
      </c>
      <c r="D61" s="3" t="str">
        <f>IF('01_Main_Dataset'!I61&gt;1000,"High","Low")</f>
        <v>High</v>
      </c>
      <c r="E61" s="3">
        <f>'01_Main_Dataset'!L61</f>
        <v>0.19</v>
      </c>
    </row>
    <row r="62" spans="2:5" ht="15.75" customHeight="1">
      <c r="B62" s="3" t="str">
        <f>'01_Main_Dataset'!A62</f>
        <v>ORD00062</v>
      </c>
      <c r="C62" s="3" t="str">
        <f>IF('01_Main_Dataset'!K62&gt;0,"Profit","Loss")</f>
        <v>Profit</v>
      </c>
      <c r="D62" s="3" t="str">
        <f>IF('01_Main_Dataset'!I62&gt;1000,"High","Low")</f>
        <v>Low</v>
      </c>
      <c r="E62" s="3">
        <f>'01_Main_Dataset'!L62</f>
        <v>0.12</v>
      </c>
    </row>
    <row r="63" spans="2:5" ht="15.75" customHeight="1">
      <c r="B63" s="3" t="str">
        <f>'01_Main_Dataset'!A63</f>
        <v>ORD00063</v>
      </c>
      <c r="C63" s="3" t="str">
        <f>IF('01_Main_Dataset'!K63&gt;0,"Profit","Loss")</f>
        <v>Profit</v>
      </c>
      <c r="D63" s="3" t="str">
        <f>IF('01_Main_Dataset'!I63&gt;1000,"High","Low")</f>
        <v>Low</v>
      </c>
      <c r="E63" s="3">
        <f>'01_Main_Dataset'!L63</f>
        <v>0.2</v>
      </c>
    </row>
    <row r="64" spans="2:5" ht="15.75" customHeight="1">
      <c r="B64" s="3" t="str">
        <f>'01_Main_Dataset'!A64</f>
        <v>ORD00064</v>
      </c>
      <c r="C64" s="3" t="str">
        <f>IF('01_Main_Dataset'!K64&gt;0,"Profit","Loss")</f>
        <v>Profit</v>
      </c>
      <c r="D64" s="3" t="str">
        <f>IF('01_Main_Dataset'!I64&gt;1000,"High","Low")</f>
        <v>High</v>
      </c>
      <c r="E64" s="3">
        <f>'01_Main_Dataset'!L64</f>
        <v>0.02</v>
      </c>
    </row>
    <row r="65" spans="2:5" ht="15.75" customHeight="1">
      <c r="B65" s="3" t="str">
        <f>'01_Main_Dataset'!A65</f>
        <v>ORD00065</v>
      </c>
      <c r="C65" s="3" t="str">
        <f>IF('01_Main_Dataset'!K65&gt;0,"Profit","Loss")</f>
        <v>Profit</v>
      </c>
      <c r="D65" s="3" t="str">
        <f>IF('01_Main_Dataset'!I65&gt;1000,"High","Low")</f>
        <v>Low</v>
      </c>
      <c r="E65" s="3">
        <f>'01_Main_Dataset'!L65</f>
        <v>0.05</v>
      </c>
    </row>
    <row r="66" spans="2:5" ht="15.75" customHeight="1">
      <c r="B66" s="3" t="str">
        <f>'01_Main_Dataset'!A66</f>
        <v>ORD00066</v>
      </c>
      <c r="C66" s="3" t="str">
        <f>IF('01_Main_Dataset'!K66&gt;0,"Profit","Loss")</f>
        <v>Profit</v>
      </c>
      <c r="D66" s="3" t="str">
        <f>IF('01_Main_Dataset'!I66&gt;1000,"High","Low")</f>
        <v>High</v>
      </c>
      <c r="E66" s="3">
        <f>'01_Main_Dataset'!L66</f>
        <v>0.2</v>
      </c>
    </row>
    <row r="67" spans="2:5" ht="15.75" customHeight="1">
      <c r="B67" s="3" t="str">
        <f>'01_Main_Dataset'!A67</f>
        <v>ORD00067</v>
      </c>
      <c r="C67" s="3" t="str">
        <f>IF('01_Main_Dataset'!K67&gt;0,"Profit","Loss")</f>
        <v>Profit</v>
      </c>
      <c r="D67" s="3" t="str">
        <f>IF('01_Main_Dataset'!I67&gt;1000,"High","Low")</f>
        <v>High</v>
      </c>
      <c r="E67" s="3">
        <f>'01_Main_Dataset'!L67</f>
        <v>0.04</v>
      </c>
    </row>
    <row r="68" spans="2:5" ht="15.75" customHeight="1">
      <c r="B68" s="3" t="str">
        <f>'01_Main_Dataset'!A68</f>
        <v>ORD00068</v>
      </c>
      <c r="C68" s="3" t="str">
        <f>IF('01_Main_Dataset'!K68&gt;0,"Profit","Loss")</f>
        <v>Profit</v>
      </c>
      <c r="D68" s="3" t="str">
        <f>IF('01_Main_Dataset'!I68&gt;1000,"High","Low")</f>
        <v>High</v>
      </c>
      <c r="E68" s="3">
        <f>'01_Main_Dataset'!L68</f>
        <v>0.02</v>
      </c>
    </row>
    <row r="69" spans="2:5" ht="15.75" customHeight="1">
      <c r="B69" s="3" t="str">
        <f>'01_Main_Dataset'!A69</f>
        <v>ORD00069</v>
      </c>
      <c r="C69" s="3" t="str">
        <f>IF('01_Main_Dataset'!K69&gt;0,"Profit","Loss")</f>
        <v>Profit</v>
      </c>
      <c r="D69" s="3" t="str">
        <f>IF('01_Main_Dataset'!I69&gt;1000,"High","Low")</f>
        <v>Low</v>
      </c>
      <c r="E69" s="3">
        <f>'01_Main_Dataset'!L69</f>
        <v>0.13</v>
      </c>
    </row>
    <row r="70" spans="2:5" ht="15.75" customHeight="1">
      <c r="B70" s="3" t="str">
        <f>'01_Main_Dataset'!A70</f>
        <v>ORD00070</v>
      </c>
      <c r="C70" s="3" t="str">
        <f>IF('01_Main_Dataset'!K70&gt;0,"Profit","Loss")</f>
        <v>Profit</v>
      </c>
      <c r="D70" s="3" t="str">
        <f>IF('01_Main_Dataset'!I70&gt;1000,"High","Low")</f>
        <v>Low</v>
      </c>
      <c r="E70" s="3">
        <f>'01_Main_Dataset'!L70</f>
        <v>0.08</v>
      </c>
    </row>
    <row r="71" spans="2:5" ht="15.75" customHeight="1">
      <c r="B71" s="3" t="str">
        <f>'01_Main_Dataset'!A71</f>
        <v>ORD00071</v>
      </c>
      <c r="C71" s="3" t="str">
        <f>IF('01_Main_Dataset'!K71&gt;0,"Profit","Loss")</f>
        <v>Profit</v>
      </c>
      <c r="D71" s="3" t="str">
        <f>IF('01_Main_Dataset'!I71&gt;1000,"High","Low")</f>
        <v>High</v>
      </c>
      <c r="E71" s="3">
        <f>'01_Main_Dataset'!L71</f>
        <v>0.08</v>
      </c>
    </row>
    <row r="72" spans="2:5" ht="15.75" customHeight="1">
      <c r="B72" s="3" t="str">
        <f>'01_Main_Dataset'!A72</f>
        <v>ORD00072</v>
      </c>
      <c r="C72" s="3" t="str">
        <f>IF('01_Main_Dataset'!K72&gt;0,"Profit","Loss")</f>
        <v>Profit</v>
      </c>
      <c r="D72" s="3" t="str">
        <f>IF('01_Main_Dataset'!I72&gt;1000,"High","Low")</f>
        <v>High</v>
      </c>
      <c r="E72" s="3">
        <f>'01_Main_Dataset'!L72</f>
        <v>0.27</v>
      </c>
    </row>
    <row r="73" spans="2:5" ht="15.75" customHeight="1">
      <c r="B73" s="3" t="str">
        <f>'01_Main_Dataset'!A73</f>
        <v>ORD00073</v>
      </c>
      <c r="C73" s="3" t="str">
        <f>IF('01_Main_Dataset'!K73&gt;0,"Profit","Loss")</f>
        <v>Profit</v>
      </c>
      <c r="D73" s="3" t="str">
        <f>IF('01_Main_Dataset'!I73&gt;1000,"High","Low")</f>
        <v>High</v>
      </c>
      <c r="E73" s="3">
        <f>'01_Main_Dataset'!L73</f>
        <v>0.16</v>
      </c>
    </row>
    <row r="74" spans="2:5" ht="15.75" customHeight="1">
      <c r="B74" s="3" t="str">
        <f>'01_Main_Dataset'!A74</f>
        <v>ORD00074</v>
      </c>
      <c r="C74" s="3" t="str">
        <f>IF('01_Main_Dataset'!K74&gt;0,"Profit","Loss")</f>
        <v>Profit</v>
      </c>
      <c r="D74" s="3" t="str">
        <f>IF('01_Main_Dataset'!I74&gt;1000,"High","Low")</f>
        <v>Low</v>
      </c>
      <c r="E74" s="3">
        <f>'01_Main_Dataset'!L74</f>
        <v>0.05</v>
      </c>
    </row>
    <row r="75" spans="2:5" ht="15.75" customHeight="1">
      <c r="B75" s="3" t="str">
        <f>'01_Main_Dataset'!A75</f>
        <v>ORD00075</v>
      </c>
      <c r="C75" s="3" t="str">
        <f>IF('01_Main_Dataset'!K75&gt;0,"Profit","Loss")</f>
        <v>Profit</v>
      </c>
      <c r="D75" s="3" t="str">
        <f>IF('01_Main_Dataset'!I75&gt;1000,"High","Low")</f>
        <v>High</v>
      </c>
      <c r="E75" s="3">
        <f>'01_Main_Dataset'!L75</f>
        <v>0.09</v>
      </c>
    </row>
    <row r="76" spans="2:5" ht="15.75" customHeight="1">
      <c r="B76" s="3" t="str">
        <f>'01_Main_Dataset'!A76</f>
        <v>ORD00076</v>
      </c>
      <c r="C76" s="3" t="str">
        <f>IF('01_Main_Dataset'!K76&gt;0,"Profit","Loss")</f>
        <v>Profit</v>
      </c>
      <c r="D76" s="3" t="str">
        <f>IF('01_Main_Dataset'!I76&gt;1000,"High","Low")</f>
        <v>High</v>
      </c>
      <c r="E76" s="3">
        <f>'01_Main_Dataset'!L76</f>
        <v>0.06</v>
      </c>
    </row>
    <row r="77" spans="2:5" ht="15.75" customHeight="1">
      <c r="B77" s="3" t="str">
        <f>'01_Main_Dataset'!A77</f>
        <v>ORD00077</v>
      </c>
      <c r="C77" s="3" t="str">
        <f>IF('01_Main_Dataset'!K77&gt;0,"Profit","Loss")</f>
        <v>Profit</v>
      </c>
      <c r="D77" s="3" t="str">
        <f>IF('01_Main_Dataset'!I77&gt;1000,"High","Low")</f>
        <v>High</v>
      </c>
      <c r="E77" s="3">
        <f>'01_Main_Dataset'!L77</f>
        <v>0.02</v>
      </c>
    </row>
    <row r="78" spans="2:5" ht="15.75" customHeight="1">
      <c r="B78" s="3" t="str">
        <f>'01_Main_Dataset'!A78</f>
        <v>ORD00078</v>
      </c>
      <c r="C78" s="3" t="str">
        <f>IF('01_Main_Dataset'!K78&gt;0,"Profit","Loss")</f>
        <v>Profit</v>
      </c>
      <c r="D78" s="3" t="str">
        <f>IF('01_Main_Dataset'!I78&gt;1000,"High","Low")</f>
        <v>Low</v>
      </c>
      <c r="E78" s="3">
        <f>'01_Main_Dataset'!L78</f>
        <v>0.08</v>
      </c>
    </row>
    <row r="79" spans="2:5" ht="15.75" customHeight="1">
      <c r="B79" s="3" t="str">
        <f>'01_Main_Dataset'!A79</f>
        <v>ORD00079</v>
      </c>
      <c r="C79" s="3" t="str">
        <f>IF('01_Main_Dataset'!K79&gt;0,"Profit","Loss")</f>
        <v>Profit</v>
      </c>
      <c r="D79" s="3" t="str">
        <f>IF('01_Main_Dataset'!I79&gt;1000,"High","Low")</f>
        <v>Low</v>
      </c>
      <c r="E79" s="3">
        <f>'01_Main_Dataset'!L79</f>
        <v>0.2</v>
      </c>
    </row>
    <row r="80" spans="2: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39997558519241921"/>
  </sheetPr>
  <dimension ref="A1:E100"/>
  <sheetViews>
    <sheetView workbookViewId="0">
      <selection sqref="A1:A6"/>
    </sheetView>
  </sheetViews>
  <sheetFormatPr defaultColWidth="14.44140625" defaultRowHeight="15" customHeight="1"/>
  <cols>
    <col min="1" max="1" width="37.21875" bestFit="1" customWidth="1"/>
    <col min="2" max="2" width="9.6640625" bestFit="1" customWidth="1"/>
    <col min="3" max="3" width="12" bestFit="1" customWidth="1"/>
    <col min="4" max="4" width="6.77734375" bestFit="1" customWidth="1"/>
    <col min="5" max="5" width="8" bestFit="1" customWidth="1"/>
    <col min="6" max="11" width="8.6640625" customWidth="1"/>
  </cols>
  <sheetData>
    <row r="1" spans="1:5" ht="14.4">
      <c r="A1" s="13" t="s">
        <v>1223</v>
      </c>
      <c r="B1" s="16" t="s">
        <v>0</v>
      </c>
      <c r="C1" s="16" t="s">
        <v>1224</v>
      </c>
      <c r="D1" s="16" t="s">
        <v>1225</v>
      </c>
      <c r="E1" s="16" t="s">
        <v>1226</v>
      </c>
    </row>
    <row r="2" spans="1:5" ht="14.4">
      <c r="A2" s="14" t="s">
        <v>1251</v>
      </c>
      <c r="B2" s="3" t="str">
        <f>'01_Main_Dataset'!A2</f>
        <v>ORD00002</v>
      </c>
      <c r="C2" s="3">
        <f>IFERROR('01_Main_Dataset'!K2/'01_Main_Dataset'!I2,0)</f>
        <v>0.33664395545583664</v>
      </c>
      <c r="D2" s="3" t="str">
        <f>'01_Main_Dataset'!C2</f>
        <v>West</v>
      </c>
      <c r="E2" s="3">
        <f>'01_Main_Dataset'!I2</f>
        <v>971.62</v>
      </c>
    </row>
    <row r="3" spans="1:5" ht="14.4">
      <c r="A3" s="14" t="s">
        <v>1252</v>
      </c>
      <c r="B3" s="3" t="str">
        <f>'01_Main_Dataset'!A3</f>
        <v>ORD00003</v>
      </c>
      <c r="C3" s="3">
        <f>IFERROR('01_Main_Dataset'!K3/'01_Main_Dataset'!I3,0)</f>
        <v>0.24459052314434399</v>
      </c>
      <c r="D3" s="3" t="str">
        <f>'01_Main_Dataset'!C3</f>
        <v>South</v>
      </c>
      <c r="E3" s="3">
        <f>'01_Main_Dataset'!I3</f>
        <v>182.55</v>
      </c>
    </row>
    <row r="4" spans="1:5" ht="14.4">
      <c r="A4" s="14" t="s">
        <v>1253</v>
      </c>
      <c r="B4" s="3" t="str">
        <f>'01_Main_Dataset'!A4</f>
        <v>ORD00004</v>
      </c>
      <c r="C4" s="3">
        <f>IFERROR('01_Main_Dataset'!K4/'01_Main_Dataset'!I4,0)</f>
        <v>0.36721344470162021</v>
      </c>
      <c r="D4" s="3" t="str">
        <f>'01_Main_Dataset'!C4</f>
        <v>West</v>
      </c>
      <c r="E4" s="3">
        <f>'01_Main_Dataset'!I4</f>
        <v>298.11</v>
      </c>
    </row>
    <row r="5" spans="1:5" ht="14.4">
      <c r="A5" s="14" t="s">
        <v>1254</v>
      </c>
      <c r="B5" s="3" t="str">
        <f>'01_Main_Dataset'!A5</f>
        <v>ORD00005</v>
      </c>
      <c r="C5" s="3">
        <f>IFERROR('01_Main_Dataset'!K5/'01_Main_Dataset'!I5,0)</f>
        <v>0.26091773483297342</v>
      </c>
      <c r="D5" s="3" t="str">
        <f>'01_Main_Dataset'!C5</f>
        <v>East</v>
      </c>
      <c r="E5" s="3">
        <f>'01_Main_Dataset'!I5</f>
        <v>713.06</v>
      </c>
    </row>
    <row r="6" spans="1:5" thickBot="1">
      <c r="A6" s="15" t="s">
        <v>1255</v>
      </c>
      <c r="B6" s="3" t="str">
        <f>'01_Main_Dataset'!A6</f>
        <v>ORD00006</v>
      </c>
      <c r="C6" s="3">
        <f>IFERROR('01_Main_Dataset'!K6/'01_Main_Dataset'!I6,0)</f>
        <v>0.37894057345460147</v>
      </c>
      <c r="D6" s="3" t="str">
        <f>'01_Main_Dataset'!C6</f>
        <v>East</v>
      </c>
      <c r="E6" s="3">
        <f>'01_Main_Dataset'!I6</f>
        <v>1037.92</v>
      </c>
    </row>
    <row r="7" spans="1:5" ht="14.4">
      <c r="B7" s="3" t="str">
        <f>'01_Main_Dataset'!A7</f>
        <v>ORD00007</v>
      </c>
      <c r="C7" s="3">
        <f>IFERROR('01_Main_Dataset'!K7/'01_Main_Dataset'!I7,0)</f>
        <v>0.3999815959388372</v>
      </c>
      <c r="D7" s="3" t="str">
        <f>'01_Main_Dataset'!C7</f>
        <v>East</v>
      </c>
      <c r="E7" s="3">
        <f>'01_Main_Dataset'!I7</f>
        <v>652.03</v>
      </c>
    </row>
    <row r="8" spans="1:5" ht="14.4">
      <c r="B8" s="3" t="str">
        <f>'01_Main_Dataset'!A8</f>
        <v>ORD00008</v>
      </c>
      <c r="C8" s="3">
        <f>IFERROR('01_Main_Dataset'!K8/'01_Main_Dataset'!I8,0)</f>
        <v>0.28987933264048105</v>
      </c>
      <c r="D8" s="3" t="str">
        <f>'01_Main_Dataset'!C8</f>
        <v>North</v>
      </c>
      <c r="E8" s="3">
        <f>'01_Main_Dataset'!I8</f>
        <v>1260.49</v>
      </c>
    </row>
    <row r="9" spans="1:5" ht="14.4">
      <c r="B9" s="3" t="str">
        <f>'01_Main_Dataset'!A9</f>
        <v>ORD00009</v>
      </c>
      <c r="C9" s="3">
        <f>IFERROR('01_Main_Dataset'!K9/'01_Main_Dataset'!I9,0)</f>
        <v>0.15385861134314108</v>
      </c>
      <c r="D9" s="3" t="str">
        <f>'01_Main_Dataset'!C9</f>
        <v>East</v>
      </c>
      <c r="E9" s="3">
        <f>'01_Main_Dataset'!I9</f>
        <v>1173.22</v>
      </c>
    </row>
    <row r="10" spans="1:5" ht="14.4">
      <c r="B10" s="3" t="str">
        <f>'01_Main_Dataset'!A10</f>
        <v>ORD00010</v>
      </c>
      <c r="C10" s="3">
        <f>IFERROR('01_Main_Dataset'!K10/'01_Main_Dataset'!I10,0)</f>
        <v>0.32866796912532426</v>
      </c>
      <c r="D10" s="3" t="str">
        <f>'01_Main_Dataset'!C10</f>
        <v>North</v>
      </c>
      <c r="E10" s="3">
        <f>'01_Main_Dataset'!I10</f>
        <v>312.23</v>
      </c>
    </row>
    <row r="11" spans="1:5" ht="14.4">
      <c r="B11" s="3" t="str">
        <f>'01_Main_Dataset'!A11</f>
        <v>ORD00011</v>
      </c>
      <c r="C11" s="3">
        <f>IFERROR('01_Main_Dataset'!K11/'01_Main_Dataset'!I11,0)</f>
        <v>0.35180818047320822</v>
      </c>
      <c r="D11" s="3" t="str">
        <f>'01_Main_Dataset'!C11</f>
        <v>East</v>
      </c>
      <c r="E11" s="3">
        <f>'01_Main_Dataset'!I11</f>
        <v>1797.94</v>
      </c>
    </row>
    <row r="12" spans="1:5" ht="14.4">
      <c r="B12" s="3" t="str">
        <f>'01_Main_Dataset'!A12</f>
        <v>ORD00012</v>
      </c>
      <c r="C12" s="3">
        <f>IFERROR('01_Main_Dataset'!K12/'01_Main_Dataset'!I12,0)</f>
        <v>0.20316043561243965</v>
      </c>
      <c r="D12" s="3" t="str">
        <f>'01_Main_Dataset'!C12</f>
        <v>North</v>
      </c>
      <c r="E12" s="3">
        <f>'01_Main_Dataset'!I12</f>
        <v>1781.4</v>
      </c>
    </row>
    <row r="13" spans="1:5" ht="14.4">
      <c r="B13" s="3" t="str">
        <f>'01_Main_Dataset'!A13</f>
        <v>ORD00013</v>
      </c>
      <c r="C13" s="3">
        <f>IFERROR('01_Main_Dataset'!K13/'01_Main_Dataset'!I13,0)</f>
        <v>0.30466279967138837</v>
      </c>
      <c r="D13" s="3" t="str">
        <f>'01_Main_Dataset'!C13</f>
        <v>South</v>
      </c>
      <c r="E13" s="3">
        <f>'01_Main_Dataset'!I13</f>
        <v>1205.07</v>
      </c>
    </row>
    <row r="14" spans="1:5" ht="14.4">
      <c r="B14" s="3" t="str">
        <f>'01_Main_Dataset'!A14</f>
        <v>ORD00014</v>
      </c>
      <c r="C14" s="3">
        <f>IFERROR('01_Main_Dataset'!K14/'01_Main_Dataset'!I14,0)</f>
        <v>0.35522270484359786</v>
      </c>
      <c r="D14" s="3" t="str">
        <f>'01_Main_Dataset'!C14</f>
        <v>East</v>
      </c>
      <c r="E14" s="3">
        <f>'01_Main_Dataset'!I14</f>
        <v>913.99</v>
      </c>
    </row>
    <row r="15" spans="1:5" ht="14.4">
      <c r="B15" s="3" t="str">
        <f>'01_Main_Dataset'!A15</f>
        <v>ORD00015</v>
      </c>
      <c r="C15" s="3">
        <f>IFERROR('01_Main_Dataset'!K15/'01_Main_Dataset'!I15,0)</f>
        <v>0.12880305326981378</v>
      </c>
      <c r="D15" s="3" t="str">
        <f>'01_Main_Dataset'!C15</f>
        <v>South</v>
      </c>
      <c r="E15" s="3">
        <f>'01_Main_Dataset'!I15</f>
        <v>738.88</v>
      </c>
    </row>
    <row r="16" spans="1:5" ht="14.4">
      <c r="B16" s="3" t="str">
        <f>'01_Main_Dataset'!A16</f>
        <v>ORD00016</v>
      </c>
      <c r="C16" s="3">
        <f>IFERROR('01_Main_Dataset'!K16/'01_Main_Dataset'!I16,0)</f>
        <v>0.3752680295664913</v>
      </c>
      <c r="D16" s="3" t="str">
        <f>'01_Main_Dataset'!C16</f>
        <v>East</v>
      </c>
      <c r="E16" s="3">
        <f>'01_Main_Dataset'!I16</f>
        <v>750.85</v>
      </c>
    </row>
    <row r="17" spans="2:5" ht="14.4">
      <c r="B17" s="3" t="str">
        <f>'01_Main_Dataset'!A17</f>
        <v>ORD00017</v>
      </c>
      <c r="C17" s="3">
        <f>IFERROR('01_Main_Dataset'!K17/'01_Main_Dataset'!I17,0)</f>
        <v>0.29615545340576682</v>
      </c>
      <c r="D17" s="3" t="str">
        <f>'01_Main_Dataset'!C17</f>
        <v>West</v>
      </c>
      <c r="E17" s="3">
        <f>'01_Main_Dataset'!I17</f>
        <v>1196.5</v>
      </c>
    </row>
    <row r="18" spans="2:5" ht="14.4">
      <c r="B18" s="3" t="str">
        <f>'01_Main_Dataset'!A18</f>
        <v>ORD00018</v>
      </c>
      <c r="C18" s="3">
        <f>IFERROR('01_Main_Dataset'!K18/'01_Main_Dataset'!I18,0)</f>
        <v>0.13291242479778159</v>
      </c>
      <c r="D18" s="3" t="str">
        <f>'01_Main_Dataset'!C18</f>
        <v>East</v>
      </c>
      <c r="E18" s="3">
        <f>'01_Main_Dataset'!I18</f>
        <v>1042.19</v>
      </c>
    </row>
    <row r="19" spans="2:5" ht="14.4">
      <c r="B19" s="3" t="str">
        <f>'01_Main_Dataset'!A19</f>
        <v>ORD00019</v>
      </c>
      <c r="C19" s="3">
        <f>IFERROR('01_Main_Dataset'!K19/'01_Main_Dataset'!I19,0)</f>
        <v>0.15423632468043549</v>
      </c>
      <c r="D19" s="3" t="str">
        <f>'01_Main_Dataset'!C19</f>
        <v>North</v>
      </c>
      <c r="E19" s="3">
        <f>'01_Main_Dataset'!I19</f>
        <v>686.09</v>
      </c>
    </row>
    <row r="20" spans="2:5" ht="14.4">
      <c r="B20" s="3" t="str">
        <f>'01_Main_Dataset'!A20</f>
        <v>ORD00020</v>
      </c>
      <c r="C20" s="3">
        <f>IFERROR('01_Main_Dataset'!K20/'01_Main_Dataset'!I20,0)</f>
        <v>0.15949070314320621</v>
      </c>
      <c r="D20" s="3" t="str">
        <f>'01_Main_Dataset'!C20</f>
        <v>East</v>
      </c>
      <c r="E20" s="3">
        <f>'01_Main_Dataset'!I20</f>
        <v>1416.07</v>
      </c>
    </row>
    <row r="21" spans="2:5" ht="15.75" customHeight="1">
      <c r="B21" s="3" t="str">
        <f>'01_Main_Dataset'!A21</f>
        <v>ORD00021</v>
      </c>
      <c r="C21" s="3">
        <f>IFERROR('01_Main_Dataset'!K21/'01_Main_Dataset'!I21,0)</f>
        <v>0.20420737995769897</v>
      </c>
      <c r="D21" s="3" t="str">
        <f>'01_Main_Dataset'!C21</f>
        <v>North</v>
      </c>
      <c r="E21" s="3">
        <f>'01_Main_Dataset'!I21</f>
        <v>1144.18</v>
      </c>
    </row>
    <row r="22" spans="2:5" ht="15.75" customHeight="1">
      <c r="B22" s="3" t="str">
        <f>'01_Main_Dataset'!A22</f>
        <v>ORD00022</v>
      </c>
      <c r="C22" s="3">
        <f>IFERROR('01_Main_Dataset'!K22/'01_Main_Dataset'!I22,0)</f>
        <v>0.12321449768527679</v>
      </c>
      <c r="D22" s="3" t="str">
        <f>'01_Main_Dataset'!C22</f>
        <v>North</v>
      </c>
      <c r="E22" s="3">
        <f>'01_Main_Dataset'!I22</f>
        <v>252.73</v>
      </c>
    </row>
    <row r="23" spans="2:5" ht="15.75" customHeight="1">
      <c r="B23" s="3" t="str">
        <f>'01_Main_Dataset'!A23</f>
        <v>ORD00023</v>
      </c>
      <c r="C23" s="3">
        <f>IFERROR('01_Main_Dataset'!K23/'01_Main_Dataset'!I23,0)</f>
        <v>0.10754036682865653</v>
      </c>
      <c r="D23" s="3" t="str">
        <f>'01_Main_Dataset'!C23</f>
        <v>East</v>
      </c>
      <c r="E23" s="3">
        <f>'01_Main_Dataset'!I23</f>
        <v>1467.17</v>
      </c>
    </row>
    <row r="24" spans="2:5" ht="15.75" customHeight="1">
      <c r="B24" s="3" t="str">
        <f>'01_Main_Dataset'!A24</f>
        <v>ORD00024</v>
      </c>
      <c r="C24" s="3">
        <f>IFERROR('01_Main_Dataset'!K24/'01_Main_Dataset'!I24,0)</f>
        <v>0.17683186443564525</v>
      </c>
      <c r="D24" s="3" t="str">
        <f>'01_Main_Dataset'!C24</f>
        <v>South</v>
      </c>
      <c r="E24" s="3">
        <f>'01_Main_Dataset'!I24</f>
        <v>939.48</v>
      </c>
    </row>
    <row r="25" spans="2:5" ht="15.75" customHeight="1">
      <c r="B25" s="3" t="str">
        <f>'01_Main_Dataset'!A25</f>
        <v>ORD00025</v>
      </c>
      <c r="C25" s="3">
        <f>IFERROR('01_Main_Dataset'!K25/'01_Main_Dataset'!I25,0)</f>
        <v>0.20526390231253391</v>
      </c>
      <c r="D25" s="3" t="str">
        <f>'01_Main_Dataset'!C25</f>
        <v>South</v>
      </c>
      <c r="E25" s="3">
        <f>'01_Main_Dataset'!I25</f>
        <v>1696.84</v>
      </c>
    </row>
    <row r="26" spans="2:5" ht="15.75" customHeight="1">
      <c r="B26" s="3" t="str">
        <f>'01_Main_Dataset'!A26</f>
        <v>ORD00026</v>
      </c>
      <c r="C26" s="3">
        <f>IFERROR('01_Main_Dataset'!K26/'01_Main_Dataset'!I26,0)</f>
        <v>0.37073721322494324</v>
      </c>
      <c r="D26" s="3" t="str">
        <f>'01_Main_Dataset'!C26</f>
        <v>South</v>
      </c>
      <c r="E26" s="3">
        <f>'01_Main_Dataset'!I26</f>
        <v>788.51</v>
      </c>
    </row>
    <row r="27" spans="2:5" ht="15.75" customHeight="1">
      <c r="B27" s="3" t="str">
        <f>'01_Main_Dataset'!A27</f>
        <v>ORD00027</v>
      </c>
      <c r="C27" s="3">
        <f>IFERROR('01_Main_Dataset'!K27/'01_Main_Dataset'!I27,0)</f>
        <v>0.35281391382785299</v>
      </c>
      <c r="D27" s="3" t="str">
        <f>'01_Main_Dataset'!C27</f>
        <v>West</v>
      </c>
      <c r="E27" s="3">
        <f>'01_Main_Dataset'!I27</f>
        <v>1419.02</v>
      </c>
    </row>
    <row r="28" spans="2:5" ht="15.75" customHeight="1">
      <c r="B28" s="3" t="str">
        <f>'01_Main_Dataset'!A28</f>
        <v>ORD00028</v>
      </c>
      <c r="C28" s="3">
        <f>IFERROR('01_Main_Dataset'!K28/'01_Main_Dataset'!I28,0)</f>
        <v>0.221363493559535</v>
      </c>
      <c r="D28" s="3" t="str">
        <f>'01_Main_Dataset'!C28</f>
        <v>East</v>
      </c>
      <c r="E28" s="3">
        <f>'01_Main_Dataset'!I28</f>
        <v>159.15</v>
      </c>
    </row>
    <row r="29" spans="2:5" ht="15.75" customHeight="1">
      <c r="B29" s="3" t="str">
        <f>'01_Main_Dataset'!A29</f>
        <v>ORD00029</v>
      </c>
      <c r="C29" s="3">
        <f>IFERROR('01_Main_Dataset'!K29/'01_Main_Dataset'!I29,0)</f>
        <v>0.31987513167303566</v>
      </c>
      <c r="D29" s="3" t="str">
        <f>'01_Main_Dataset'!C29</f>
        <v>South</v>
      </c>
      <c r="E29" s="3">
        <f>'01_Main_Dataset'!I29</f>
        <v>1300.57</v>
      </c>
    </row>
    <row r="30" spans="2:5" ht="15.75" customHeight="1">
      <c r="B30" s="3" t="str">
        <f>'01_Main_Dataset'!A30</f>
        <v>ORD00030</v>
      </c>
      <c r="C30" s="3">
        <f>IFERROR('01_Main_Dataset'!K30/'01_Main_Dataset'!I30,0)</f>
        <v>0.1624857700439096</v>
      </c>
      <c r="D30" s="3" t="str">
        <f>'01_Main_Dataset'!C30</f>
        <v>East</v>
      </c>
      <c r="E30" s="3">
        <f>'01_Main_Dataset'!I30</f>
        <v>491.92</v>
      </c>
    </row>
    <row r="31" spans="2:5" ht="15.75" customHeight="1">
      <c r="B31" s="3" t="str">
        <f>'01_Main_Dataset'!A31</f>
        <v>ORD00031</v>
      </c>
      <c r="C31" s="3">
        <f>IFERROR('01_Main_Dataset'!K31/'01_Main_Dataset'!I31,0)</f>
        <v>5.2446335121255967E-2</v>
      </c>
      <c r="D31" s="3" t="str">
        <f>'01_Main_Dataset'!C31</f>
        <v>East</v>
      </c>
      <c r="E31" s="3">
        <f>'01_Main_Dataset'!I31</f>
        <v>1838.26</v>
      </c>
    </row>
    <row r="32" spans="2:5" ht="15.75" customHeight="1">
      <c r="B32" s="3" t="str">
        <f>'01_Main_Dataset'!A32</f>
        <v>ORD00032</v>
      </c>
      <c r="C32" s="3">
        <f>IFERROR('01_Main_Dataset'!K32/'01_Main_Dataset'!I32,0)</f>
        <v>0.35687160012316538</v>
      </c>
      <c r="D32" s="3" t="str">
        <f>'01_Main_Dataset'!C32</f>
        <v>East</v>
      </c>
      <c r="E32" s="3">
        <f>'01_Main_Dataset'!I32</f>
        <v>194.86</v>
      </c>
    </row>
    <row r="33" spans="2:5" ht="15.75" customHeight="1">
      <c r="B33" s="3" t="str">
        <f>'01_Main_Dataset'!A33</f>
        <v>ORD00033</v>
      </c>
      <c r="C33" s="3">
        <f>IFERROR('01_Main_Dataset'!K33/'01_Main_Dataset'!I33,0)</f>
        <v>0.12229983966224327</v>
      </c>
      <c r="D33" s="3" t="str">
        <f>'01_Main_Dataset'!C33</f>
        <v>West</v>
      </c>
      <c r="E33" s="3">
        <f>'01_Main_Dataset'!I33</f>
        <v>1241.1300000000001</v>
      </c>
    </row>
    <row r="34" spans="2:5" ht="15.75" customHeight="1">
      <c r="B34" s="3" t="str">
        <f>'01_Main_Dataset'!A34</f>
        <v>ORD00034</v>
      </c>
      <c r="C34" s="3">
        <f>IFERROR('01_Main_Dataset'!K34/'01_Main_Dataset'!I34,0)</f>
        <v>0.22824324400675741</v>
      </c>
      <c r="D34" s="3" t="str">
        <f>'01_Main_Dataset'!C34</f>
        <v>West</v>
      </c>
      <c r="E34" s="3">
        <f>'01_Main_Dataset'!I34</f>
        <v>1769.91</v>
      </c>
    </row>
    <row r="35" spans="2:5" ht="15.75" customHeight="1">
      <c r="B35" s="3" t="str">
        <f>'01_Main_Dataset'!A35</f>
        <v>ORD00035</v>
      </c>
      <c r="C35" s="3">
        <f>IFERROR('01_Main_Dataset'!K35/'01_Main_Dataset'!I35,0)</f>
        <v>0.32153238706111797</v>
      </c>
      <c r="D35" s="3" t="str">
        <f>'01_Main_Dataset'!C35</f>
        <v>South</v>
      </c>
      <c r="E35" s="3">
        <f>'01_Main_Dataset'!I35</f>
        <v>1881.77</v>
      </c>
    </row>
    <row r="36" spans="2:5" ht="15.75" customHeight="1">
      <c r="B36" s="3" t="str">
        <f>'01_Main_Dataset'!A36</f>
        <v>ORD00036</v>
      </c>
      <c r="C36" s="3">
        <f>IFERROR('01_Main_Dataset'!K36/'01_Main_Dataset'!I36,0)</f>
        <v>0.31633490800931346</v>
      </c>
      <c r="D36" s="3" t="str">
        <f>'01_Main_Dataset'!C36</f>
        <v>East</v>
      </c>
      <c r="E36" s="3">
        <f>'01_Main_Dataset'!I36</f>
        <v>1486.02</v>
      </c>
    </row>
    <row r="37" spans="2:5" ht="15.75" customHeight="1">
      <c r="B37" s="3" t="str">
        <f>'01_Main_Dataset'!A37</f>
        <v>ORD00037</v>
      </c>
      <c r="C37" s="3">
        <f>IFERROR('01_Main_Dataset'!K37/'01_Main_Dataset'!I37,0)</f>
        <v>0.18544661857061295</v>
      </c>
      <c r="D37" s="3" t="str">
        <f>'01_Main_Dataset'!C37</f>
        <v>North</v>
      </c>
      <c r="E37" s="3">
        <f>'01_Main_Dataset'!I37</f>
        <v>192.67</v>
      </c>
    </row>
    <row r="38" spans="2:5" ht="15.75" customHeight="1">
      <c r="B38" s="3" t="str">
        <f>'01_Main_Dataset'!A38</f>
        <v>ORD00038</v>
      </c>
      <c r="C38" s="3">
        <f>IFERROR('01_Main_Dataset'!K38/'01_Main_Dataset'!I38,0)</f>
        <v>0.22486969471332835</v>
      </c>
      <c r="D38" s="3" t="str">
        <f>'01_Main_Dataset'!C38</f>
        <v>North</v>
      </c>
      <c r="E38" s="3">
        <f>'01_Main_Dataset'!I38</f>
        <v>134.30000000000001</v>
      </c>
    </row>
    <row r="39" spans="2:5" ht="15.75" customHeight="1">
      <c r="B39" s="3" t="str">
        <f>'01_Main_Dataset'!A39</f>
        <v>ORD00039</v>
      </c>
      <c r="C39" s="3">
        <f>IFERROR('01_Main_Dataset'!K39/'01_Main_Dataset'!I39,0)</f>
        <v>0.24002433851000551</v>
      </c>
      <c r="D39" s="3" t="str">
        <f>'01_Main_Dataset'!C39</f>
        <v>South</v>
      </c>
      <c r="E39" s="3">
        <f>'01_Main_Dataset'!I39</f>
        <v>1758.53</v>
      </c>
    </row>
    <row r="40" spans="2:5" ht="15.75" customHeight="1">
      <c r="B40" s="3" t="str">
        <f>'01_Main_Dataset'!A40</f>
        <v>ORD00040</v>
      </c>
      <c r="C40" s="3">
        <f>IFERROR('01_Main_Dataset'!K40/'01_Main_Dataset'!I40,0)</f>
        <v>0.35800080784030275</v>
      </c>
      <c r="D40" s="3" t="str">
        <f>'01_Main_Dataset'!C40</f>
        <v>South</v>
      </c>
      <c r="E40" s="3">
        <f>'01_Main_Dataset'!I40</f>
        <v>940.78</v>
      </c>
    </row>
    <row r="41" spans="2:5" ht="15.75" customHeight="1">
      <c r="B41" s="3" t="str">
        <f>'01_Main_Dataset'!A41</f>
        <v>ORD00041</v>
      </c>
      <c r="C41" s="3">
        <f>IFERROR('01_Main_Dataset'!K41/'01_Main_Dataset'!I41,0)</f>
        <v>0.15007788580329806</v>
      </c>
      <c r="D41" s="3" t="str">
        <f>'01_Main_Dataset'!C41</f>
        <v>East</v>
      </c>
      <c r="E41" s="3">
        <f>'01_Main_Dataset'!I41</f>
        <v>1117.02</v>
      </c>
    </row>
    <row r="42" spans="2:5" ht="15.75" customHeight="1">
      <c r="B42" s="3" t="str">
        <f>'01_Main_Dataset'!A42</f>
        <v>ORD00042</v>
      </c>
      <c r="C42" s="3">
        <f>IFERROR('01_Main_Dataset'!K42/'01_Main_Dataset'!I42,0)</f>
        <v>0.23180860668071021</v>
      </c>
      <c r="D42" s="3" t="str">
        <f>'01_Main_Dataset'!C42</f>
        <v>West</v>
      </c>
      <c r="E42" s="3">
        <f>'01_Main_Dataset'!I42</f>
        <v>1329.2</v>
      </c>
    </row>
    <row r="43" spans="2:5" ht="15.75" customHeight="1">
      <c r="B43" s="3" t="str">
        <f>'01_Main_Dataset'!A43</f>
        <v>ORD00043</v>
      </c>
      <c r="C43" s="3">
        <f>IFERROR('01_Main_Dataset'!K43/'01_Main_Dataset'!I43,0)</f>
        <v>0.36409478672985784</v>
      </c>
      <c r="D43" s="3" t="str">
        <f>'01_Main_Dataset'!C43</f>
        <v>West</v>
      </c>
      <c r="E43" s="3">
        <f>'01_Main_Dataset'!I43</f>
        <v>527.5</v>
      </c>
    </row>
    <row r="44" spans="2:5" ht="15.75" customHeight="1">
      <c r="B44" s="3" t="str">
        <f>'01_Main_Dataset'!A44</f>
        <v>ORD00044</v>
      </c>
      <c r="C44" s="3">
        <f>IFERROR('01_Main_Dataset'!K44/'01_Main_Dataset'!I44,0)</f>
        <v>0.21817408367982655</v>
      </c>
      <c r="D44" s="3" t="str">
        <f>'01_Main_Dataset'!C44</f>
        <v>South</v>
      </c>
      <c r="E44" s="3">
        <f>'01_Main_Dataset'!I44</f>
        <v>728.73</v>
      </c>
    </row>
    <row r="45" spans="2:5" ht="15.75" customHeight="1">
      <c r="B45" s="3" t="str">
        <f>'01_Main_Dataset'!A45</f>
        <v>ORD00045</v>
      </c>
      <c r="C45" s="3">
        <f>IFERROR('01_Main_Dataset'!K45/'01_Main_Dataset'!I45,0)</f>
        <v>9.5862992748305106E-2</v>
      </c>
      <c r="D45" s="3" t="str">
        <f>'01_Main_Dataset'!C45</f>
        <v>South</v>
      </c>
      <c r="E45" s="3">
        <f>'01_Main_Dataset'!I45</f>
        <v>1948.51</v>
      </c>
    </row>
    <row r="46" spans="2:5" ht="15.75" customHeight="1">
      <c r="B46" s="3" t="str">
        <f>'01_Main_Dataset'!A46</f>
        <v>ORD00046</v>
      </c>
      <c r="C46" s="3">
        <f>IFERROR('01_Main_Dataset'!K46/'01_Main_Dataset'!I46,0)</f>
        <v>0.27334651591614906</v>
      </c>
      <c r="D46" s="3" t="str">
        <f>'01_Main_Dataset'!C46</f>
        <v>East</v>
      </c>
      <c r="E46" s="3">
        <f>'01_Main_Dataset'!I46</f>
        <v>1648.64</v>
      </c>
    </row>
    <row r="47" spans="2:5" ht="15.75" customHeight="1">
      <c r="B47" s="3" t="str">
        <f>'01_Main_Dataset'!A47</f>
        <v>ORD00047</v>
      </c>
      <c r="C47" s="3">
        <f>IFERROR('01_Main_Dataset'!K47/'01_Main_Dataset'!I47,0)</f>
        <v>0.27725770925110133</v>
      </c>
      <c r="D47" s="3" t="str">
        <f>'01_Main_Dataset'!C47</f>
        <v>North</v>
      </c>
      <c r="E47" s="3">
        <f>'01_Main_Dataset'!I47</f>
        <v>181.6</v>
      </c>
    </row>
    <row r="48" spans="2:5" ht="15.75" customHeight="1">
      <c r="B48" s="3" t="str">
        <f>'01_Main_Dataset'!A48</f>
        <v>ORD00048</v>
      </c>
      <c r="C48" s="3">
        <f>IFERROR('01_Main_Dataset'!K48/'01_Main_Dataset'!I48,0)</f>
        <v>0.3250498445768526</v>
      </c>
      <c r="D48" s="3" t="str">
        <f>'01_Main_Dataset'!C48</f>
        <v>West</v>
      </c>
      <c r="E48" s="3">
        <f>'01_Main_Dataset'!I48</f>
        <v>1740.41</v>
      </c>
    </row>
    <row r="49" spans="2:5" ht="15.75" customHeight="1">
      <c r="B49" s="3" t="str">
        <f>'01_Main_Dataset'!A49</f>
        <v>ORD00049</v>
      </c>
      <c r="C49" s="3">
        <f>IFERROR('01_Main_Dataset'!K49/'01_Main_Dataset'!I49,0)</f>
        <v>5.780141142981398E-2</v>
      </c>
      <c r="D49" s="3" t="str">
        <f>'01_Main_Dataset'!C49</f>
        <v>West</v>
      </c>
      <c r="E49" s="3">
        <f>'01_Main_Dataset'!I49</f>
        <v>1011.74</v>
      </c>
    </row>
    <row r="50" spans="2:5" ht="15.75" customHeight="1">
      <c r="B50" s="3" t="str">
        <f>'01_Main_Dataset'!A50</f>
        <v>ORD00050</v>
      </c>
      <c r="C50" s="3">
        <f>IFERROR('01_Main_Dataset'!K50/'01_Main_Dataset'!I50,0)</f>
        <v>0.29382445360851023</v>
      </c>
      <c r="D50" s="3" t="str">
        <f>'01_Main_Dataset'!C50</f>
        <v>South</v>
      </c>
      <c r="E50" s="3">
        <f>'01_Main_Dataset'!I50</f>
        <v>1568.93</v>
      </c>
    </row>
    <row r="51" spans="2:5" ht="15.75" customHeight="1">
      <c r="B51" s="3" t="str">
        <f>'01_Main_Dataset'!A51</f>
        <v>ORD00051</v>
      </c>
      <c r="C51" s="3">
        <f>IFERROR('01_Main_Dataset'!K51/'01_Main_Dataset'!I51,0)</f>
        <v>6.5239670873473696E-2</v>
      </c>
      <c r="D51" s="3" t="str">
        <f>'01_Main_Dataset'!C51</f>
        <v>East</v>
      </c>
      <c r="E51" s="3">
        <f>'01_Main_Dataset'!I51</f>
        <v>683.02</v>
      </c>
    </row>
    <row r="52" spans="2:5" ht="15.75" customHeight="1">
      <c r="B52" s="3" t="str">
        <f>'01_Main_Dataset'!A52</f>
        <v>ORD00052</v>
      </c>
      <c r="C52" s="3">
        <f>IFERROR('01_Main_Dataset'!K52/'01_Main_Dataset'!I52,0)</f>
        <v>9.6762986470686499E-2</v>
      </c>
      <c r="D52" s="3" t="str">
        <f>'01_Main_Dataset'!C52</f>
        <v>West</v>
      </c>
      <c r="E52" s="3">
        <f>'01_Main_Dataset'!I52</f>
        <v>1496.75</v>
      </c>
    </row>
    <row r="53" spans="2:5" ht="15.75" customHeight="1">
      <c r="B53" s="3" t="str">
        <f>'01_Main_Dataset'!A53</f>
        <v>ORD00053</v>
      </c>
      <c r="C53" s="3">
        <f>IFERROR('01_Main_Dataset'!K53/'01_Main_Dataset'!I53,0)</f>
        <v>0.38303281389765076</v>
      </c>
      <c r="D53" s="3" t="str">
        <f>'01_Main_Dataset'!C53</f>
        <v>West</v>
      </c>
      <c r="E53" s="3">
        <f>'01_Main_Dataset'!I53</f>
        <v>424.82</v>
      </c>
    </row>
    <row r="54" spans="2:5" ht="15.75" customHeight="1">
      <c r="B54" s="3" t="str">
        <f>'01_Main_Dataset'!A54</f>
        <v>ORD00054</v>
      </c>
      <c r="C54" s="3">
        <f>IFERROR('01_Main_Dataset'!K54/'01_Main_Dataset'!I54,0)</f>
        <v>0.18123991217957072</v>
      </c>
      <c r="D54" s="3" t="str">
        <f>'01_Main_Dataset'!C54</f>
        <v>South</v>
      </c>
      <c r="E54" s="3">
        <f>'01_Main_Dataset'!I54</f>
        <v>1994.98</v>
      </c>
    </row>
    <row r="55" spans="2:5" ht="15.75" customHeight="1">
      <c r="B55" s="3" t="str">
        <f>'01_Main_Dataset'!A55</f>
        <v>ORD00055</v>
      </c>
      <c r="C55" s="3">
        <f>IFERROR('01_Main_Dataset'!K55/'01_Main_Dataset'!I55,0)</f>
        <v>0.34702855751080802</v>
      </c>
      <c r="D55" s="3" t="str">
        <f>'01_Main_Dataset'!C55</f>
        <v>South</v>
      </c>
      <c r="E55" s="3">
        <f>'01_Main_Dataset'!I55</f>
        <v>1970.76</v>
      </c>
    </row>
    <row r="56" spans="2:5" ht="15.75" customHeight="1">
      <c r="B56" s="3" t="str">
        <f>'01_Main_Dataset'!A56</f>
        <v>ORD00056</v>
      </c>
      <c r="C56" s="3">
        <f>IFERROR('01_Main_Dataset'!K56/'01_Main_Dataset'!I56,0)</f>
        <v>0.20266410817082423</v>
      </c>
      <c r="D56" s="3" t="str">
        <f>'01_Main_Dataset'!C56</f>
        <v>East</v>
      </c>
      <c r="E56" s="3">
        <f>'01_Main_Dataset'!I56</f>
        <v>896.36</v>
      </c>
    </row>
    <row r="57" spans="2:5" ht="15.75" customHeight="1">
      <c r="B57" s="3" t="str">
        <f>'01_Main_Dataset'!A57</f>
        <v>ORD00057</v>
      </c>
      <c r="C57" s="3">
        <f>IFERROR('01_Main_Dataset'!K57/'01_Main_Dataset'!I57,0)</f>
        <v>0.3102864331333462</v>
      </c>
      <c r="D57" s="3" t="str">
        <f>'01_Main_Dataset'!C57</f>
        <v>North</v>
      </c>
      <c r="E57" s="3">
        <f>'01_Main_Dataset'!I57</f>
        <v>413.36</v>
      </c>
    </row>
    <row r="58" spans="2:5" ht="15.75" customHeight="1">
      <c r="B58" s="3" t="str">
        <f>'01_Main_Dataset'!A58</f>
        <v>ORD00058</v>
      </c>
      <c r="C58" s="3">
        <f>IFERROR('01_Main_Dataset'!K58/'01_Main_Dataset'!I58,0)</f>
        <v>0.39442263926910515</v>
      </c>
      <c r="D58" s="3" t="str">
        <f>'01_Main_Dataset'!C58</f>
        <v>East</v>
      </c>
      <c r="E58" s="3">
        <f>'01_Main_Dataset'!I58</f>
        <v>1819.14</v>
      </c>
    </row>
    <row r="59" spans="2:5" ht="15.75" customHeight="1">
      <c r="B59" s="3" t="str">
        <f>'01_Main_Dataset'!A59</f>
        <v>ORD00059</v>
      </c>
      <c r="C59" s="3">
        <f>IFERROR('01_Main_Dataset'!K59/'01_Main_Dataset'!I59,0)</f>
        <v>0.12346727533308564</v>
      </c>
      <c r="D59" s="3" t="str">
        <f>'01_Main_Dataset'!C59</f>
        <v>North</v>
      </c>
      <c r="E59" s="3">
        <f>'01_Main_Dataset'!I59</f>
        <v>188.39</v>
      </c>
    </row>
    <row r="60" spans="2:5" ht="15.75" customHeight="1">
      <c r="B60" s="3" t="str">
        <f>'01_Main_Dataset'!A60</f>
        <v>ORD00060</v>
      </c>
      <c r="C60" s="3">
        <f>IFERROR('01_Main_Dataset'!K60/'01_Main_Dataset'!I60,0)</f>
        <v>9.6105596160139639E-2</v>
      </c>
      <c r="D60" s="3" t="str">
        <f>'01_Main_Dataset'!C60</f>
        <v>South</v>
      </c>
      <c r="E60" s="3">
        <f>'01_Main_Dataset'!I60</f>
        <v>183.34</v>
      </c>
    </row>
    <row r="61" spans="2:5" ht="15.75" customHeight="1">
      <c r="B61" s="3" t="str">
        <f>'01_Main_Dataset'!A61</f>
        <v>ORD00061</v>
      </c>
      <c r="C61" s="3">
        <f>IFERROR('01_Main_Dataset'!K61/'01_Main_Dataset'!I61,0)</f>
        <v>0.16347430174898039</v>
      </c>
      <c r="D61" s="3" t="str">
        <f>'01_Main_Dataset'!C61</f>
        <v>East</v>
      </c>
      <c r="E61" s="3">
        <f>'01_Main_Dataset'!I61</f>
        <v>1453.99</v>
      </c>
    </row>
    <row r="62" spans="2:5" ht="15.75" customHeight="1">
      <c r="B62" s="3" t="str">
        <f>'01_Main_Dataset'!A62</f>
        <v>ORD00062</v>
      </c>
      <c r="C62" s="3">
        <f>IFERROR('01_Main_Dataset'!K62/'01_Main_Dataset'!I62,0)</f>
        <v>0.28724346847386195</v>
      </c>
      <c r="D62" s="3" t="str">
        <f>'01_Main_Dataset'!C62</f>
        <v>West</v>
      </c>
      <c r="E62" s="3">
        <f>'01_Main_Dataset'!I62</f>
        <v>417.59</v>
      </c>
    </row>
    <row r="63" spans="2:5" ht="15.75" customHeight="1">
      <c r="B63" s="3" t="str">
        <f>'01_Main_Dataset'!A63</f>
        <v>ORD00063</v>
      </c>
      <c r="C63" s="3">
        <f>IFERROR('01_Main_Dataset'!K63/'01_Main_Dataset'!I63,0)</f>
        <v>0.2197741499938628</v>
      </c>
      <c r="D63" s="3" t="str">
        <f>'01_Main_Dataset'!C63</f>
        <v>West</v>
      </c>
      <c r="E63" s="3">
        <f>'01_Main_Dataset'!I63</f>
        <v>977.64</v>
      </c>
    </row>
    <row r="64" spans="2:5" ht="15.75" customHeight="1">
      <c r="B64" s="3" t="str">
        <f>'01_Main_Dataset'!A64</f>
        <v>ORD00064</v>
      </c>
      <c r="C64" s="3">
        <f>IFERROR('01_Main_Dataset'!K64/'01_Main_Dataset'!I64,0)</f>
        <v>0.26119417570604903</v>
      </c>
      <c r="D64" s="3" t="str">
        <f>'01_Main_Dataset'!C64</f>
        <v>South</v>
      </c>
      <c r="E64" s="3">
        <f>'01_Main_Dataset'!I64</f>
        <v>1023.3</v>
      </c>
    </row>
    <row r="65" spans="2:5" ht="15.75" customHeight="1">
      <c r="B65" s="3" t="str">
        <f>'01_Main_Dataset'!A65</f>
        <v>ORD00065</v>
      </c>
      <c r="C65" s="3">
        <f>IFERROR('01_Main_Dataset'!K65/'01_Main_Dataset'!I65,0)</f>
        <v>0.22369986274210765</v>
      </c>
      <c r="D65" s="3" t="str">
        <f>'01_Main_Dataset'!C65</f>
        <v>East</v>
      </c>
      <c r="E65" s="3">
        <f>'01_Main_Dataset'!I65</f>
        <v>327.85</v>
      </c>
    </row>
    <row r="66" spans="2:5" ht="15.75" customHeight="1">
      <c r="B66" s="3" t="str">
        <f>'01_Main_Dataset'!A66</f>
        <v>ORD00066</v>
      </c>
      <c r="C66" s="3">
        <f>IFERROR('01_Main_Dataset'!K66/'01_Main_Dataset'!I66,0)</f>
        <v>0.32779620552691624</v>
      </c>
      <c r="D66" s="3" t="str">
        <f>'01_Main_Dataset'!C66</f>
        <v>North</v>
      </c>
      <c r="E66" s="3">
        <f>'01_Main_Dataset'!I66</f>
        <v>1893.28</v>
      </c>
    </row>
    <row r="67" spans="2:5" ht="15.75" customHeight="1">
      <c r="B67" s="3" t="str">
        <f>'01_Main_Dataset'!A67</f>
        <v>ORD00067</v>
      </c>
      <c r="C67" s="3">
        <f>IFERROR('01_Main_Dataset'!K67/'01_Main_Dataset'!I67,0)</f>
        <v>0.10792070732393333</v>
      </c>
      <c r="D67" s="3" t="str">
        <f>'01_Main_Dataset'!C67</f>
        <v>East</v>
      </c>
      <c r="E67" s="3">
        <f>'01_Main_Dataset'!I67</f>
        <v>1635.46</v>
      </c>
    </row>
    <row r="68" spans="2:5" ht="15.75" customHeight="1">
      <c r="B68" s="3" t="str">
        <f>'01_Main_Dataset'!A68</f>
        <v>ORD00068</v>
      </c>
      <c r="C68" s="3">
        <f>IFERROR('01_Main_Dataset'!K68/'01_Main_Dataset'!I68,0)</f>
        <v>0.17766535547004789</v>
      </c>
      <c r="D68" s="3" t="str">
        <f>'01_Main_Dataset'!C68</f>
        <v>West</v>
      </c>
      <c r="E68" s="3">
        <f>'01_Main_Dataset'!I68</f>
        <v>1865.98</v>
      </c>
    </row>
    <row r="69" spans="2:5" ht="15.75" customHeight="1">
      <c r="B69" s="3" t="str">
        <f>'01_Main_Dataset'!A69</f>
        <v>ORD00069</v>
      </c>
      <c r="C69" s="3">
        <f>IFERROR('01_Main_Dataset'!K69/'01_Main_Dataset'!I69,0)</f>
        <v>0.35962529274004684</v>
      </c>
      <c r="D69" s="3" t="str">
        <f>'01_Main_Dataset'!C69</f>
        <v>East</v>
      </c>
      <c r="E69" s="3">
        <f>'01_Main_Dataset'!I69</f>
        <v>747.25</v>
      </c>
    </row>
    <row r="70" spans="2:5" ht="15.75" customHeight="1">
      <c r="B70" s="3" t="str">
        <f>'01_Main_Dataset'!A70</f>
        <v>ORD00070</v>
      </c>
      <c r="C70" s="3">
        <f>IFERROR('01_Main_Dataset'!K70/'01_Main_Dataset'!I70,0)</f>
        <v>0.27377231316198802</v>
      </c>
      <c r="D70" s="3" t="str">
        <f>'01_Main_Dataset'!C70</f>
        <v>East</v>
      </c>
      <c r="E70" s="3">
        <f>'01_Main_Dataset'!I70</f>
        <v>675.05</v>
      </c>
    </row>
    <row r="71" spans="2:5" ht="15.75" customHeight="1">
      <c r="B71" s="3" t="str">
        <f>'01_Main_Dataset'!A71</f>
        <v>ORD00071</v>
      </c>
      <c r="C71" s="3">
        <f>IFERROR('01_Main_Dataset'!K71/'01_Main_Dataset'!I71,0)</f>
        <v>0.12373442367601246</v>
      </c>
      <c r="D71" s="3" t="str">
        <f>'01_Main_Dataset'!C71</f>
        <v>South</v>
      </c>
      <c r="E71" s="3">
        <f>'01_Main_Dataset'!I71</f>
        <v>1335.36</v>
      </c>
    </row>
    <row r="72" spans="2:5" ht="15.75" customHeight="1">
      <c r="B72" s="3" t="str">
        <f>'01_Main_Dataset'!A72</f>
        <v>ORD00072</v>
      </c>
      <c r="C72" s="3">
        <f>IFERROR('01_Main_Dataset'!K72/'01_Main_Dataset'!I72,0)</f>
        <v>0.28886217260626879</v>
      </c>
      <c r="D72" s="3" t="str">
        <f>'01_Main_Dataset'!C72</f>
        <v>East</v>
      </c>
      <c r="E72" s="3">
        <f>'01_Main_Dataset'!I72</f>
        <v>1746.75</v>
      </c>
    </row>
    <row r="73" spans="2:5" ht="15.75" customHeight="1">
      <c r="B73" s="3" t="str">
        <f>'01_Main_Dataset'!A73</f>
        <v>ORD00073</v>
      </c>
      <c r="C73" s="3">
        <f>IFERROR('01_Main_Dataset'!K73/'01_Main_Dataset'!I73,0)</f>
        <v>0.26265423741925498</v>
      </c>
      <c r="D73" s="3" t="str">
        <f>'01_Main_Dataset'!C73</f>
        <v>West</v>
      </c>
      <c r="E73" s="3">
        <f>'01_Main_Dataset'!I73</f>
        <v>1292.6500000000001</v>
      </c>
    </row>
    <row r="74" spans="2:5" ht="15.75" customHeight="1">
      <c r="B74" s="3" t="str">
        <f>'01_Main_Dataset'!A74</f>
        <v>ORD00074</v>
      </c>
      <c r="C74" s="3">
        <f>IFERROR('01_Main_Dataset'!K74/'01_Main_Dataset'!I74,0)</f>
        <v>0.11703849384385308</v>
      </c>
      <c r="D74" s="3" t="str">
        <f>'01_Main_Dataset'!C74</f>
        <v>East</v>
      </c>
      <c r="E74" s="3">
        <f>'01_Main_Dataset'!I74</f>
        <v>488.13</v>
      </c>
    </row>
    <row r="75" spans="2:5" ht="15.75" customHeight="1">
      <c r="B75" s="3" t="str">
        <f>'01_Main_Dataset'!A75</f>
        <v>ORD00075</v>
      </c>
      <c r="C75" s="3">
        <f>IFERROR('01_Main_Dataset'!K75/'01_Main_Dataset'!I75,0)</f>
        <v>0.31156429055511059</v>
      </c>
      <c r="D75" s="3" t="str">
        <f>'01_Main_Dataset'!C75</f>
        <v>East</v>
      </c>
      <c r="E75" s="3">
        <f>'01_Main_Dataset'!I75</f>
        <v>1785.41</v>
      </c>
    </row>
    <row r="76" spans="2:5" ht="15.75" customHeight="1">
      <c r="B76" s="3" t="str">
        <f>'01_Main_Dataset'!A76</f>
        <v>ORD00076</v>
      </c>
      <c r="C76" s="3">
        <f>IFERROR('01_Main_Dataset'!K76/'01_Main_Dataset'!I76,0)</f>
        <v>0.1734093428760734</v>
      </c>
      <c r="D76" s="3" t="str">
        <f>'01_Main_Dataset'!C76</f>
        <v>East</v>
      </c>
      <c r="E76" s="3">
        <f>'01_Main_Dataset'!I76</f>
        <v>1524.37</v>
      </c>
    </row>
    <row r="77" spans="2:5" ht="15.75" customHeight="1">
      <c r="B77" s="3" t="str">
        <f>'01_Main_Dataset'!A77</f>
        <v>ORD00077</v>
      </c>
      <c r="C77" s="3">
        <f>IFERROR('01_Main_Dataset'!K77/'01_Main_Dataset'!I77,0)</f>
        <v>0.35955747129770904</v>
      </c>
      <c r="D77" s="3" t="str">
        <f>'01_Main_Dataset'!C77</f>
        <v>East</v>
      </c>
      <c r="E77" s="3">
        <f>'01_Main_Dataset'!I77</f>
        <v>1723.73</v>
      </c>
    </row>
    <row r="78" spans="2:5" ht="15.75" customHeight="1">
      <c r="B78" s="3" t="str">
        <f>'01_Main_Dataset'!A78</f>
        <v>ORD00078</v>
      </c>
      <c r="C78" s="3">
        <f>IFERROR('01_Main_Dataset'!K78/'01_Main_Dataset'!I78,0)</f>
        <v>0.2481217807814704</v>
      </c>
      <c r="D78" s="3" t="str">
        <f>'01_Main_Dataset'!C78</f>
        <v>North</v>
      </c>
      <c r="E78" s="3">
        <f>'01_Main_Dataset'!I78</f>
        <v>304.81</v>
      </c>
    </row>
    <row r="79" spans="2:5" ht="15.75" customHeight="1">
      <c r="B79" s="3" t="str">
        <f>'01_Main_Dataset'!A79</f>
        <v>ORD00079</v>
      </c>
      <c r="C79" s="3">
        <f>IFERROR('01_Main_Dataset'!K79/'01_Main_Dataset'!I79,0)</f>
        <v>7.6859405121056004E-2</v>
      </c>
      <c r="D79" s="3" t="str">
        <f>'01_Main_Dataset'!C79</f>
        <v>South</v>
      </c>
      <c r="E79" s="3">
        <f>'01_Main_Dataset'!I79</f>
        <v>918.17</v>
      </c>
    </row>
    <row r="80" spans="2: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D100"/>
  <sheetViews>
    <sheetView workbookViewId="0">
      <selection activeCell="B9" sqref="B9"/>
    </sheetView>
  </sheetViews>
  <sheetFormatPr defaultColWidth="14.44140625" defaultRowHeight="15" customHeight="1"/>
  <cols>
    <col min="1" max="1" width="41.109375" bestFit="1" customWidth="1"/>
    <col min="2" max="2" width="9.6640625" bestFit="1" customWidth="1"/>
    <col min="3" max="3" width="8" bestFit="1" customWidth="1"/>
    <col min="4" max="4" width="7" bestFit="1" customWidth="1"/>
    <col min="5" max="11" width="8.6640625" customWidth="1"/>
  </cols>
  <sheetData>
    <row r="1" spans="1:4" ht="14.4">
      <c r="A1" s="1" t="s">
        <v>1223</v>
      </c>
      <c r="B1" s="19" t="s">
        <v>0</v>
      </c>
      <c r="C1" s="19" t="s">
        <v>8</v>
      </c>
      <c r="D1" s="19" t="s">
        <v>10</v>
      </c>
    </row>
    <row r="2" spans="1:4" ht="14.4">
      <c r="A2" s="18" t="s">
        <v>1256</v>
      </c>
      <c r="B2" s="3" t="str">
        <f>'01_Main_Dataset'!A2</f>
        <v>ORD00002</v>
      </c>
      <c r="C2" s="3">
        <f>IFERROR(VLOOKUP(B2,'01_Main_Dataset'!A:L,9,FALSE),0)</f>
        <v>971.62</v>
      </c>
      <c r="D2" s="3">
        <f>IFERROR(VLOOKUP(B2,'01_Main_Dataset'!A:L,11,FALSE),0)</f>
        <v>327.08999999999997</v>
      </c>
    </row>
    <row r="3" spans="1:4" ht="14.4">
      <c r="A3" s="18" t="s">
        <v>1257</v>
      </c>
      <c r="B3" s="3" t="str">
        <f>'01_Main_Dataset'!A3</f>
        <v>ORD00003</v>
      </c>
      <c r="C3" s="3">
        <f>IFERROR(VLOOKUP(B3,'01_Main_Dataset'!A:L,9,FALSE),0)</f>
        <v>182.55</v>
      </c>
      <c r="D3" s="3">
        <f>IFERROR(VLOOKUP(B3,'01_Main_Dataset'!A:L,11,FALSE),0)</f>
        <v>44.65</v>
      </c>
    </row>
    <row r="4" spans="1:4" ht="14.4">
      <c r="A4" s="18" t="s">
        <v>1258</v>
      </c>
      <c r="B4" s="3" t="str">
        <f>'01_Main_Dataset'!A4</f>
        <v>ORD00004</v>
      </c>
      <c r="C4" s="3">
        <f>IFERROR(VLOOKUP(B4,'01_Main_Dataset'!A:L,9,FALSE),0)</f>
        <v>298.11</v>
      </c>
      <c r="D4" s="3">
        <f>IFERROR(VLOOKUP(B4,'01_Main_Dataset'!A:L,11,FALSE),0)</f>
        <v>109.47</v>
      </c>
    </row>
    <row r="5" spans="1:4" ht="14.4">
      <c r="A5" s="18" t="s">
        <v>1259</v>
      </c>
      <c r="B5" s="3" t="str">
        <f>'01_Main_Dataset'!A5</f>
        <v>ORD00005</v>
      </c>
      <c r="C5" s="3">
        <f>IFERROR(VLOOKUP(B5,'01_Main_Dataset'!A:L,9,FALSE),0)</f>
        <v>713.06</v>
      </c>
      <c r="D5" s="3">
        <f>IFERROR(VLOOKUP(B5,'01_Main_Dataset'!A:L,11,FALSE),0)</f>
        <v>186.05</v>
      </c>
    </row>
    <row r="6" spans="1:4" ht="14.4">
      <c r="A6" s="18" t="s">
        <v>1260</v>
      </c>
      <c r="B6" s="3" t="str">
        <f>'01_Main_Dataset'!A6</f>
        <v>ORD00006</v>
      </c>
      <c r="C6" s="3">
        <f>IFERROR(VLOOKUP(B6,'01_Main_Dataset'!A:L,9,FALSE),0)</f>
        <v>1037.92</v>
      </c>
      <c r="D6" s="3">
        <f>IFERROR(VLOOKUP(B6,'01_Main_Dataset'!A:L,11,FALSE),0)</f>
        <v>393.31</v>
      </c>
    </row>
    <row r="7" spans="1:4" ht="14.4">
      <c r="B7" s="3" t="str">
        <f>'01_Main_Dataset'!A7</f>
        <v>ORD00007</v>
      </c>
      <c r="C7" s="3">
        <f>IFERROR(VLOOKUP(B7,'01_Main_Dataset'!A:L,9,FALSE),0)</f>
        <v>652.03</v>
      </c>
      <c r="D7" s="3">
        <f>IFERROR(VLOOKUP(B7,'01_Main_Dataset'!A:L,11,FALSE),0)</f>
        <v>260.8</v>
      </c>
    </row>
    <row r="8" spans="1:4" ht="14.4">
      <c r="B8" s="3" t="str">
        <f>'01_Main_Dataset'!A8</f>
        <v>ORD00008</v>
      </c>
      <c r="C8" s="3">
        <f>IFERROR(VLOOKUP(B8,'01_Main_Dataset'!A:L,9,FALSE),0)</f>
        <v>1260.49</v>
      </c>
      <c r="D8" s="3">
        <f>IFERROR(VLOOKUP(B8,'01_Main_Dataset'!A:L,11,FALSE),0)</f>
        <v>365.39</v>
      </c>
    </row>
    <row r="9" spans="1:4" ht="14.4">
      <c r="B9" s="3" t="str">
        <f>'01_Main_Dataset'!A9</f>
        <v>ORD00009</v>
      </c>
      <c r="C9" s="3">
        <f>IFERROR(VLOOKUP(B9,'01_Main_Dataset'!A:L,9,FALSE),0)</f>
        <v>1173.22</v>
      </c>
      <c r="D9" s="3">
        <f>IFERROR(VLOOKUP(B9,'01_Main_Dataset'!A:L,11,FALSE),0)</f>
        <v>180.51</v>
      </c>
    </row>
    <row r="10" spans="1:4" ht="14.4">
      <c r="B10" s="3" t="str">
        <f>'01_Main_Dataset'!A10</f>
        <v>ORD00010</v>
      </c>
      <c r="C10" s="3">
        <f>IFERROR(VLOOKUP(B10,'01_Main_Dataset'!A:L,9,FALSE),0)</f>
        <v>312.23</v>
      </c>
      <c r="D10" s="3">
        <f>IFERROR(VLOOKUP(B10,'01_Main_Dataset'!A:L,11,FALSE),0)</f>
        <v>102.62</v>
      </c>
    </row>
    <row r="11" spans="1:4" ht="14.4">
      <c r="B11" s="3" t="str">
        <f>'01_Main_Dataset'!A11</f>
        <v>ORD00011</v>
      </c>
      <c r="C11" s="3">
        <f>IFERROR(VLOOKUP(B11,'01_Main_Dataset'!A:L,9,FALSE),0)</f>
        <v>1797.94</v>
      </c>
      <c r="D11" s="3">
        <f>IFERROR(VLOOKUP(B11,'01_Main_Dataset'!A:L,11,FALSE),0)</f>
        <v>632.53</v>
      </c>
    </row>
    <row r="12" spans="1:4" ht="14.4">
      <c r="B12" s="3" t="str">
        <f>'01_Main_Dataset'!A12</f>
        <v>ORD00012</v>
      </c>
      <c r="C12" s="3">
        <f>IFERROR(VLOOKUP(B12,'01_Main_Dataset'!A:L,9,FALSE),0)</f>
        <v>1781.4</v>
      </c>
      <c r="D12" s="3">
        <f>IFERROR(VLOOKUP(B12,'01_Main_Dataset'!A:L,11,FALSE),0)</f>
        <v>361.91</v>
      </c>
    </row>
    <row r="13" spans="1:4" ht="14.4">
      <c r="B13" s="3" t="str">
        <f>'01_Main_Dataset'!A13</f>
        <v>ORD00013</v>
      </c>
      <c r="C13" s="3">
        <f>IFERROR(VLOOKUP(B13,'01_Main_Dataset'!A:L,9,FALSE),0)</f>
        <v>1205.07</v>
      </c>
      <c r="D13" s="3">
        <f>IFERROR(VLOOKUP(B13,'01_Main_Dataset'!A:L,11,FALSE),0)</f>
        <v>367.14</v>
      </c>
    </row>
    <row r="14" spans="1:4" ht="14.4">
      <c r="B14" s="3" t="str">
        <f>'01_Main_Dataset'!A14</f>
        <v>ORD00014</v>
      </c>
      <c r="C14" s="3">
        <f>IFERROR(VLOOKUP(B14,'01_Main_Dataset'!A:L,9,FALSE),0)</f>
        <v>913.99</v>
      </c>
      <c r="D14" s="3">
        <f>IFERROR(VLOOKUP(B14,'01_Main_Dataset'!A:L,11,FALSE),0)</f>
        <v>324.67</v>
      </c>
    </row>
    <row r="15" spans="1:4" ht="14.4">
      <c r="B15" s="3" t="str">
        <f>'01_Main_Dataset'!A15</f>
        <v>ORD00015</v>
      </c>
      <c r="C15" s="3">
        <f>IFERROR(VLOOKUP(B15,'01_Main_Dataset'!A:L,9,FALSE),0)</f>
        <v>738.88</v>
      </c>
      <c r="D15" s="3">
        <f>IFERROR(VLOOKUP(B15,'01_Main_Dataset'!A:L,11,FALSE),0)</f>
        <v>95.17</v>
      </c>
    </row>
    <row r="16" spans="1:4" ht="14.4">
      <c r="B16" s="3" t="str">
        <f>'01_Main_Dataset'!A16</f>
        <v>ORD00016</v>
      </c>
      <c r="C16" s="3">
        <f>IFERROR(VLOOKUP(B16,'01_Main_Dataset'!A:L,9,FALSE),0)</f>
        <v>750.85</v>
      </c>
      <c r="D16" s="3">
        <f>IFERROR(VLOOKUP(B16,'01_Main_Dataset'!A:L,11,FALSE),0)</f>
        <v>281.77</v>
      </c>
    </row>
    <row r="17" spans="2:4" ht="14.4">
      <c r="B17" s="3" t="str">
        <f>'01_Main_Dataset'!A17</f>
        <v>ORD00017</v>
      </c>
      <c r="C17" s="3">
        <f>IFERROR(VLOOKUP(B17,'01_Main_Dataset'!A:L,9,FALSE),0)</f>
        <v>1196.5</v>
      </c>
      <c r="D17" s="3">
        <f>IFERROR(VLOOKUP(B17,'01_Main_Dataset'!A:L,11,FALSE),0)</f>
        <v>354.35</v>
      </c>
    </row>
    <row r="18" spans="2:4" ht="14.4">
      <c r="B18" s="3" t="str">
        <f>'01_Main_Dataset'!A18</f>
        <v>ORD00018</v>
      </c>
      <c r="C18" s="3">
        <f>IFERROR(VLOOKUP(B18,'01_Main_Dataset'!A:L,9,FALSE),0)</f>
        <v>1042.19</v>
      </c>
      <c r="D18" s="3">
        <f>IFERROR(VLOOKUP(B18,'01_Main_Dataset'!A:L,11,FALSE),0)</f>
        <v>138.52000000000001</v>
      </c>
    </row>
    <row r="19" spans="2:4" ht="14.4">
      <c r="B19" s="3" t="str">
        <f>'01_Main_Dataset'!A19</f>
        <v>ORD00019</v>
      </c>
      <c r="C19" s="3">
        <f>IFERROR(VLOOKUP(B19,'01_Main_Dataset'!A:L,9,FALSE),0)</f>
        <v>686.09</v>
      </c>
      <c r="D19" s="3">
        <f>IFERROR(VLOOKUP(B19,'01_Main_Dataset'!A:L,11,FALSE),0)</f>
        <v>105.82</v>
      </c>
    </row>
    <row r="20" spans="2:4" ht="14.4">
      <c r="B20" s="3" t="str">
        <f>'01_Main_Dataset'!A20</f>
        <v>ORD00020</v>
      </c>
      <c r="C20" s="3">
        <f>IFERROR(VLOOKUP(B20,'01_Main_Dataset'!A:L,9,FALSE),0)</f>
        <v>1416.07</v>
      </c>
      <c r="D20" s="3">
        <f>IFERROR(VLOOKUP(B20,'01_Main_Dataset'!A:L,11,FALSE),0)</f>
        <v>225.85</v>
      </c>
    </row>
    <row r="21" spans="2:4" ht="15.75" customHeight="1">
      <c r="B21" s="3" t="str">
        <f>'01_Main_Dataset'!A21</f>
        <v>ORD00021</v>
      </c>
      <c r="C21" s="3">
        <f>IFERROR(VLOOKUP(B21,'01_Main_Dataset'!A:L,9,FALSE),0)</f>
        <v>1144.18</v>
      </c>
      <c r="D21" s="3">
        <f>IFERROR(VLOOKUP(B21,'01_Main_Dataset'!A:L,11,FALSE),0)</f>
        <v>233.65</v>
      </c>
    </row>
    <row r="22" spans="2:4" ht="15.75" customHeight="1">
      <c r="B22" s="3" t="str">
        <f>'01_Main_Dataset'!A22</f>
        <v>ORD00022</v>
      </c>
      <c r="C22" s="3">
        <f>IFERROR(VLOOKUP(B22,'01_Main_Dataset'!A:L,9,FALSE),0)</f>
        <v>252.73</v>
      </c>
      <c r="D22" s="3">
        <f>IFERROR(VLOOKUP(B22,'01_Main_Dataset'!A:L,11,FALSE),0)</f>
        <v>31.14</v>
      </c>
    </row>
    <row r="23" spans="2:4" ht="15.75" customHeight="1">
      <c r="B23" s="3" t="str">
        <f>'01_Main_Dataset'!A23</f>
        <v>ORD00023</v>
      </c>
      <c r="C23" s="3">
        <f>IFERROR(VLOOKUP(B23,'01_Main_Dataset'!A:L,9,FALSE),0)</f>
        <v>1467.17</v>
      </c>
      <c r="D23" s="3">
        <f>IFERROR(VLOOKUP(B23,'01_Main_Dataset'!A:L,11,FALSE),0)</f>
        <v>157.78</v>
      </c>
    </row>
    <row r="24" spans="2:4" ht="15.75" customHeight="1">
      <c r="B24" s="3" t="str">
        <f>'01_Main_Dataset'!A24</f>
        <v>ORD00024</v>
      </c>
      <c r="C24" s="3">
        <f>IFERROR(VLOOKUP(B24,'01_Main_Dataset'!A:L,9,FALSE),0)</f>
        <v>939.48</v>
      </c>
      <c r="D24" s="3">
        <f>IFERROR(VLOOKUP(B24,'01_Main_Dataset'!A:L,11,FALSE),0)</f>
        <v>166.13</v>
      </c>
    </row>
    <row r="25" spans="2:4" ht="15.75" customHeight="1">
      <c r="B25" s="3" t="str">
        <f>'01_Main_Dataset'!A25</f>
        <v>ORD00025</v>
      </c>
      <c r="C25" s="3">
        <f>IFERROR(VLOOKUP(B25,'01_Main_Dataset'!A:L,9,FALSE),0)</f>
        <v>1696.84</v>
      </c>
      <c r="D25" s="3">
        <f>IFERROR(VLOOKUP(B25,'01_Main_Dataset'!A:L,11,FALSE),0)</f>
        <v>348.3</v>
      </c>
    </row>
    <row r="26" spans="2:4" ht="15.75" customHeight="1">
      <c r="B26" s="3" t="str">
        <f>'01_Main_Dataset'!A26</f>
        <v>ORD00026</v>
      </c>
      <c r="C26" s="3">
        <f>IFERROR(VLOOKUP(B26,'01_Main_Dataset'!A:L,9,FALSE),0)</f>
        <v>788.51</v>
      </c>
      <c r="D26" s="3">
        <f>IFERROR(VLOOKUP(B26,'01_Main_Dataset'!A:L,11,FALSE),0)</f>
        <v>292.33</v>
      </c>
    </row>
    <row r="27" spans="2:4" ht="15.75" customHeight="1">
      <c r="B27" s="3" t="str">
        <f>'01_Main_Dataset'!A27</f>
        <v>ORD00027</v>
      </c>
      <c r="C27" s="3">
        <f>IFERROR(VLOOKUP(B27,'01_Main_Dataset'!A:L,9,FALSE),0)</f>
        <v>1419.02</v>
      </c>
      <c r="D27" s="3">
        <f>IFERROR(VLOOKUP(B27,'01_Main_Dataset'!A:L,11,FALSE),0)</f>
        <v>500.65</v>
      </c>
    </row>
    <row r="28" spans="2:4" ht="15.75" customHeight="1">
      <c r="B28" s="3" t="str">
        <f>'01_Main_Dataset'!A28</f>
        <v>ORD00028</v>
      </c>
      <c r="C28" s="3">
        <f>IFERROR(VLOOKUP(B28,'01_Main_Dataset'!A:L,9,FALSE),0)</f>
        <v>159.15</v>
      </c>
      <c r="D28" s="3">
        <f>IFERROR(VLOOKUP(B28,'01_Main_Dataset'!A:L,11,FALSE),0)</f>
        <v>35.229999999999997</v>
      </c>
    </row>
    <row r="29" spans="2:4" ht="15.75" customHeight="1">
      <c r="B29" s="3" t="str">
        <f>'01_Main_Dataset'!A29</f>
        <v>ORD00029</v>
      </c>
      <c r="C29" s="3">
        <f>IFERROR(VLOOKUP(B29,'01_Main_Dataset'!A:L,9,FALSE),0)</f>
        <v>1300.57</v>
      </c>
      <c r="D29" s="3">
        <f>IFERROR(VLOOKUP(B29,'01_Main_Dataset'!A:L,11,FALSE),0)</f>
        <v>416.02</v>
      </c>
    </row>
    <row r="30" spans="2:4" ht="15.75" customHeight="1">
      <c r="B30" s="3" t="str">
        <f>'01_Main_Dataset'!A30</f>
        <v>ORD00030</v>
      </c>
      <c r="C30" s="3">
        <f>IFERROR(VLOOKUP(B30,'01_Main_Dataset'!A:L,9,FALSE),0)</f>
        <v>491.92</v>
      </c>
      <c r="D30" s="3">
        <f>IFERROR(VLOOKUP(B30,'01_Main_Dataset'!A:L,11,FALSE),0)</f>
        <v>79.930000000000007</v>
      </c>
    </row>
    <row r="31" spans="2:4" ht="15.75" customHeight="1">
      <c r="B31" s="3" t="str">
        <f>'01_Main_Dataset'!A31</f>
        <v>ORD00031</v>
      </c>
      <c r="C31" s="3">
        <f>IFERROR(VLOOKUP(B31,'01_Main_Dataset'!A:L,9,FALSE),0)</f>
        <v>1838.26</v>
      </c>
      <c r="D31" s="3">
        <f>IFERROR(VLOOKUP(B31,'01_Main_Dataset'!A:L,11,FALSE),0)</f>
        <v>96.41</v>
      </c>
    </row>
    <row r="32" spans="2:4" ht="15.75" customHeight="1">
      <c r="B32" s="3" t="str">
        <f>'01_Main_Dataset'!A32</f>
        <v>ORD00032</v>
      </c>
      <c r="C32" s="3">
        <f>IFERROR(VLOOKUP(B32,'01_Main_Dataset'!A:L,9,FALSE),0)</f>
        <v>194.86</v>
      </c>
      <c r="D32" s="3">
        <f>IFERROR(VLOOKUP(B32,'01_Main_Dataset'!A:L,11,FALSE),0)</f>
        <v>69.540000000000006</v>
      </c>
    </row>
    <row r="33" spans="2:4" ht="15.75" customHeight="1">
      <c r="B33" s="3" t="str">
        <f>'01_Main_Dataset'!A33</f>
        <v>ORD00033</v>
      </c>
      <c r="C33" s="3">
        <f>IFERROR(VLOOKUP(B33,'01_Main_Dataset'!A:L,9,FALSE),0)</f>
        <v>1241.1300000000001</v>
      </c>
      <c r="D33" s="3">
        <f>IFERROR(VLOOKUP(B33,'01_Main_Dataset'!A:L,11,FALSE),0)</f>
        <v>151.79</v>
      </c>
    </row>
    <row r="34" spans="2:4" ht="15.75" customHeight="1">
      <c r="B34" s="3" t="str">
        <f>'01_Main_Dataset'!A34</f>
        <v>ORD00034</v>
      </c>
      <c r="C34" s="3">
        <f>IFERROR(VLOOKUP(B34,'01_Main_Dataset'!A:L,9,FALSE),0)</f>
        <v>1769.91</v>
      </c>
      <c r="D34" s="3">
        <f>IFERROR(VLOOKUP(B34,'01_Main_Dataset'!A:L,11,FALSE),0)</f>
        <v>403.97</v>
      </c>
    </row>
    <row r="35" spans="2:4" ht="15.75" customHeight="1">
      <c r="B35" s="3" t="str">
        <f>'01_Main_Dataset'!A35</f>
        <v>ORD00035</v>
      </c>
      <c r="C35" s="3">
        <f>IFERROR(VLOOKUP(B35,'01_Main_Dataset'!A:L,9,FALSE),0)</f>
        <v>1881.77</v>
      </c>
      <c r="D35" s="3">
        <f>IFERROR(VLOOKUP(B35,'01_Main_Dataset'!A:L,11,FALSE),0)</f>
        <v>605.04999999999995</v>
      </c>
    </row>
    <row r="36" spans="2:4" ht="15.75" customHeight="1">
      <c r="B36" s="3" t="str">
        <f>'01_Main_Dataset'!A36</f>
        <v>ORD00036</v>
      </c>
      <c r="C36" s="3">
        <f>IFERROR(VLOOKUP(B36,'01_Main_Dataset'!A:L,9,FALSE),0)</f>
        <v>1486.02</v>
      </c>
      <c r="D36" s="3">
        <f>IFERROR(VLOOKUP(B36,'01_Main_Dataset'!A:L,11,FALSE),0)</f>
        <v>470.08</v>
      </c>
    </row>
    <row r="37" spans="2:4" ht="15.75" customHeight="1">
      <c r="B37" s="3" t="str">
        <f>'01_Main_Dataset'!A37</f>
        <v>ORD00037</v>
      </c>
      <c r="C37" s="3">
        <f>IFERROR(VLOOKUP(B37,'01_Main_Dataset'!A:L,9,FALSE),0)</f>
        <v>192.67</v>
      </c>
      <c r="D37" s="3">
        <f>IFERROR(VLOOKUP(B37,'01_Main_Dataset'!A:L,11,FALSE),0)</f>
        <v>35.729999999999997</v>
      </c>
    </row>
    <row r="38" spans="2:4" ht="15.75" customHeight="1">
      <c r="B38" s="3" t="str">
        <f>'01_Main_Dataset'!A38</f>
        <v>ORD00038</v>
      </c>
      <c r="C38" s="3">
        <f>IFERROR(VLOOKUP(B38,'01_Main_Dataset'!A:L,9,FALSE),0)</f>
        <v>134.30000000000001</v>
      </c>
      <c r="D38" s="3">
        <f>IFERROR(VLOOKUP(B38,'01_Main_Dataset'!A:L,11,FALSE),0)</f>
        <v>30.2</v>
      </c>
    </row>
    <row r="39" spans="2:4" ht="15.75" customHeight="1">
      <c r="B39" s="3" t="str">
        <f>'01_Main_Dataset'!A39</f>
        <v>ORD00039</v>
      </c>
      <c r="C39" s="3">
        <f>IFERROR(VLOOKUP(B39,'01_Main_Dataset'!A:L,9,FALSE),0)</f>
        <v>1758.53</v>
      </c>
      <c r="D39" s="3">
        <f>IFERROR(VLOOKUP(B39,'01_Main_Dataset'!A:L,11,FALSE),0)</f>
        <v>422.09</v>
      </c>
    </row>
    <row r="40" spans="2:4" ht="15.75" customHeight="1">
      <c r="B40" s="3" t="str">
        <f>'01_Main_Dataset'!A40</f>
        <v>ORD00040</v>
      </c>
      <c r="C40" s="3">
        <f>IFERROR(VLOOKUP(B40,'01_Main_Dataset'!A:L,9,FALSE),0)</f>
        <v>940.78</v>
      </c>
      <c r="D40" s="3">
        <f>IFERROR(VLOOKUP(B40,'01_Main_Dataset'!A:L,11,FALSE),0)</f>
        <v>336.8</v>
      </c>
    </row>
    <row r="41" spans="2:4" ht="15.75" customHeight="1">
      <c r="B41" s="3" t="str">
        <f>'01_Main_Dataset'!A41</f>
        <v>ORD00041</v>
      </c>
      <c r="C41" s="3">
        <f>IFERROR(VLOOKUP(B41,'01_Main_Dataset'!A:L,9,FALSE),0)</f>
        <v>1117.02</v>
      </c>
      <c r="D41" s="3">
        <f>IFERROR(VLOOKUP(B41,'01_Main_Dataset'!A:L,11,FALSE),0)</f>
        <v>167.64</v>
      </c>
    </row>
    <row r="42" spans="2:4" ht="15.75" customHeight="1">
      <c r="B42" s="3" t="str">
        <f>'01_Main_Dataset'!A42</f>
        <v>ORD00042</v>
      </c>
      <c r="C42" s="3">
        <f>IFERROR(VLOOKUP(B42,'01_Main_Dataset'!A:L,9,FALSE),0)</f>
        <v>1329.2</v>
      </c>
      <c r="D42" s="3">
        <f>IFERROR(VLOOKUP(B42,'01_Main_Dataset'!A:L,11,FALSE),0)</f>
        <v>308.12</v>
      </c>
    </row>
    <row r="43" spans="2:4" ht="15.75" customHeight="1">
      <c r="B43" s="3" t="str">
        <f>'01_Main_Dataset'!A43</f>
        <v>ORD00043</v>
      </c>
      <c r="C43" s="3">
        <f>IFERROR(VLOOKUP(B43,'01_Main_Dataset'!A:L,9,FALSE),0)</f>
        <v>527.5</v>
      </c>
      <c r="D43" s="3">
        <f>IFERROR(VLOOKUP(B43,'01_Main_Dataset'!A:L,11,FALSE),0)</f>
        <v>192.06</v>
      </c>
    </row>
    <row r="44" spans="2:4" ht="15.75" customHeight="1">
      <c r="B44" s="3" t="str">
        <f>'01_Main_Dataset'!A44</f>
        <v>ORD00044</v>
      </c>
      <c r="C44" s="3">
        <f>IFERROR(VLOOKUP(B44,'01_Main_Dataset'!A:L,9,FALSE),0)</f>
        <v>728.73</v>
      </c>
      <c r="D44" s="3">
        <f>IFERROR(VLOOKUP(B44,'01_Main_Dataset'!A:L,11,FALSE),0)</f>
        <v>158.99</v>
      </c>
    </row>
    <row r="45" spans="2:4" ht="15.75" customHeight="1">
      <c r="B45" s="3" t="str">
        <f>'01_Main_Dataset'!A45</f>
        <v>ORD00045</v>
      </c>
      <c r="C45" s="3">
        <f>IFERROR(VLOOKUP(B45,'01_Main_Dataset'!A:L,9,FALSE),0)</f>
        <v>1948.51</v>
      </c>
      <c r="D45" s="3">
        <f>IFERROR(VLOOKUP(B45,'01_Main_Dataset'!A:L,11,FALSE),0)</f>
        <v>186.79</v>
      </c>
    </row>
    <row r="46" spans="2:4" ht="15.75" customHeight="1">
      <c r="B46" s="3" t="str">
        <f>'01_Main_Dataset'!A46</f>
        <v>ORD00046</v>
      </c>
      <c r="C46" s="3">
        <f>IFERROR(VLOOKUP(B46,'01_Main_Dataset'!A:L,9,FALSE),0)</f>
        <v>1648.64</v>
      </c>
      <c r="D46" s="3">
        <f>IFERROR(VLOOKUP(B46,'01_Main_Dataset'!A:L,11,FALSE),0)</f>
        <v>450.65</v>
      </c>
    </row>
    <row r="47" spans="2:4" ht="15.75" customHeight="1">
      <c r="B47" s="3" t="str">
        <f>'01_Main_Dataset'!A47</f>
        <v>ORD00047</v>
      </c>
      <c r="C47" s="3">
        <f>IFERROR(VLOOKUP(B47,'01_Main_Dataset'!A:L,9,FALSE),0)</f>
        <v>181.6</v>
      </c>
      <c r="D47" s="3">
        <f>IFERROR(VLOOKUP(B47,'01_Main_Dataset'!A:L,11,FALSE),0)</f>
        <v>50.35</v>
      </c>
    </row>
    <row r="48" spans="2:4" ht="15.75" customHeight="1">
      <c r="B48" s="3" t="str">
        <f>'01_Main_Dataset'!A48</f>
        <v>ORD00048</v>
      </c>
      <c r="C48" s="3">
        <f>IFERROR(VLOOKUP(B48,'01_Main_Dataset'!A:L,9,FALSE),0)</f>
        <v>1740.41</v>
      </c>
      <c r="D48" s="3">
        <f>IFERROR(VLOOKUP(B48,'01_Main_Dataset'!A:L,11,FALSE),0)</f>
        <v>565.72</v>
      </c>
    </row>
    <row r="49" spans="2:4" ht="15.75" customHeight="1">
      <c r="B49" s="3" t="str">
        <f>'01_Main_Dataset'!A49</f>
        <v>ORD00049</v>
      </c>
      <c r="C49" s="3">
        <f>IFERROR(VLOOKUP(B49,'01_Main_Dataset'!A:L,9,FALSE),0)</f>
        <v>1011.74</v>
      </c>
      <c r="D49" s="3">
        <f>IFERROR(VLOOKUP(B49,'01_Main_Dataset'!A:L,11,FALSE),0)</f>
        <v>58.48</v>
      </c>
    </row>
    <row r="50" spans="2:4" ht="15.75" customHeight="1">
      <c r="B50" s="3" t="str">
        <f>'01_Main_Dataset'!A50</f>
        <v>ORD00050</v>
      </c>
      <c r="C50" s="3">
        <f>IFERROR(VLOOKUP(B50,'01_Main_Dataset'!A:L,9,FALSE),0)</f>
        <v>1568.93</v>
      </c>
      <c r="D50" s="3">
        <f>IFERROR(VLOOKUP(B50,'01_Main_Dataset'!A:L,11,FALSE),0)</f>
        <v>460.99</v>
      </c>
    </row>
    <row r="51" spans="2:4" ht="15.75" customHeight="1">
      <c r="B51" s="3" t="str">
        <f>'01_Main_Dataset'!A51</f>
        <v>ORD00051</v>
      </c>
      <c r="C51" s="3">
        <f>IFERROR(VLOOKUP(B51,'01_Main_Dataset'!A:L,9,FALSE),0)</f>
        <v>683.02</v>
      </c>
      <c r="D51" s="3">
        <f>IFERROR(VLOOKUP(B51,'01_Main_Dataset'!A:L,11,FALSE),0)</f>
        <v>44.56</v>
      </c>
    </row>
    <row r="52" spans="2:4" ht="15.75" customHeight="1">
      <c r="B52" s="3" t="str">
        <f>'01_Main_Dataset'!A52</f>
        <v>ORD00052</v>
      </c>
      <c r="C52" s="3">
        <f>IFERROR(VLOOKUP(B52,'01_Main_Dataset'!A:L,9,FALSE),0)</f>
        <v>1496.75</v>
      </c>
      <c r="D52" s="3">
        <f>IFERROR(VLOOKUP(B52,'01_Main_Dataset'!A:L,11,FALSE),0)</f>
        <v>144.83000000000001</v>
      </c>
    </row>
    <row r="53" spans="2:4" ht="15.75" customHeight="1">
      <c r="B53" s="3" t="str">
        <f>'01_Main_Dataset'!A53</f>
        <v>ORD00053</v>
      </c>
      <c r="C53" s="3">
        <f>IFERROR(VLOOKUP(B53,'01_Main_Dataset'!A:L,9,FALSE),0)</f>
        <v>424.82</v>
      </c>
      <c r="D53" s="3">
        <f>IFERROR(VLOOKUP(B53,'01_Main_Dataset'!A:L,11,FALSE),0)</f>
        <v>162.72</v>
      </c>
    </row>
    <row r="54" spans="2:4" ht="15.75" customHeight="1">
      <c r="B54" s="3" t="str">
        <f>'01_Main_Dataset'!A54</f>
        <v>ORD00054</v>
      </c>
      <c r="C54" s="3">
        <f>IFERROR(VLOOKUP(B54,'01_Main_Dataset'!A:L,9,FALSE),0)</f>
        <v>1994.98</v>
      </c>
      <c r="D54" s="3">
        <f>IFERROR(VLOOKUP(B54,'01_Main_Dataset'!A:L,11,FALSE),0)</f>
        <v>361.57</v>
      </c>
    </row>
    <row r="55" spans="2:4" ht="15.75" customHeight="1">
      <c r="B55" s="3" t="str">
        <f>'01_Main_Dataset'!A55</f>
        <v>ORD00055</v>
      </c>
      <c r="C55" s="3">
        <f>IFERROR(VLOOKUP(B55,'01_Main_Dataset'!A:L,9,FALSE),0)</f>
        <v>1970.76</v>
      </c>
      <c r="D55" s="3">
        <f>IFERROR(VLOOKUP(B55,'01_Main_Dataset'!A:L,11,FALSE),0)</f>
        <v>683.91</v>
      </c>
    </row>
    <row r="56" spans="2:4" ht="15.75" customHeight="1">
      <c r="B56" s="3" t="str">
        <f>'01_Main_Dataset'!A56</f>
        <v>ORD00056</v>
      </c>
      <c r="C56" s="3">
        <f>IFERROR(VLOOKUP(B56,'01_Main_Dataset'!A:L,9,FALSE),0)</f>
        <v>896.36</v>
      </c>
      <c r="D56" s="3">
        <f>IFERROR(VLOOKUP(B56,'01_Main_Dataset'!A:L,11,FALSE),0)</f>
        <v>181.66</v>
      </c>
    </row>
    <row r="57" spans="2:4" ht="15.75" customHeight="1">
      <c r="B57" s="3" t="str">
        <f>'01_Main_Dataset'!A57</f>
        <v>ORD00057</v>
      </c>
      <c r="C57" s="3">
        <f>IFERROR(VLOOKUP(B57,'01_Main_Dataset'!A:L,9,FALSE),0)</f>
        <v>413.36</v>
      </c>
      <c r="D57" s="3">
        <f>IFERROR(VLOOKUP(B57,'01_Main_Dataset'!A:L,11,FALSE),0)</f>
        <v>128.26</v>
      </c>
    </row>
    <row r="58" spans="2:4" ht="15.75" customHeight="1">
      <c r="B58" s="3" t="str">
        <f>'01_Main_Dataset'!A58</f>
        <v>ORD00058</v>
      </c>
      <c r="C58" s="3">
        <f>IFERROR(VLOOKUP(B58,'01_Main_Dataset'!A:L,9,FALSE),0)</f>
        <v>1819.14</v>
      </c>
      <c r="D58" s="3">
        <f>IFERROR(VLOOKUP(B58,'01_Main_Dataset'!A:L,11,FALSE),0)</f>
        <v>717.51</v>
      </c>
    </row>
    <row r="59" spans="2:4" ht="15.75" customHeight="1">
      <c r="B59" s="3" t="str">
        <f>'01_Main_Dataset'!A59</f>
        <v>ORD00059</v>
      </c>
      <c r="C59" s="3">
        <f>IFERROR(VLOOKUP(B59,'01_Main_Dataset'!A:L,9,FALSE),0)</f>
        <v>188.39</v>
      </c>
      <c r="D59" s="3">
        <f>IFERROR(VLOOKUP(B59,'01_Main_Dataset'!A:L,11,FALSE),0)</f>
        <v>23.26</v>
      </c>
    </row>
    <row r="60" spans="2:4" ht="15.75" customHeight="1">
      <c r="B60" s="3" t="str">
        <f>'01_Main_Dataset'!A60</f>
        <v>ORD00060</v>
      </c>
      <c r="C60" s="3">
        <f>IFERROR(VLOOKUP(B60,'01_Main_Dataset'!A:L,9,FALSE),0)</f>
        <v>183.34</v>
      </c>
      <c r="D60" s="3">
        <f>IFERROR(VLOOKUP(B60,'01_Main_Dataset'!A:L,11,FALSE),0)</f>
        <v>17.62</v>
      </c>
    </row>
    <row r="61" spans="2:4" ht="15.75" customHeight="1">
      <c r="B61" s="3" t="str">
        <f>'01_Main_Dataset'!A61</f>
        <v>ORD00061</v>
      </c>
      <c r="C61" s="3">
        <f>IFERROR(VLOOKUP(B61,'01_Main_Dataset'!A:L,9,FALSE),0)</f>
        <v>1453.99</v>
      </c>
      <c r="D61" s="3">
        <f>IFERROR(VLOOKUP(B61,'01_Main_Dataset'!A:L,11,FALSE),0)</f>
        <v>237.69</v>
      </c>
    </row>
    <row r="62" spans="2:4" ht="15.75" customHeight="1">
      <c r="B62" s="3" t="str">
        <f>'01_Main_Dataset'!A62</f>
        <v>ORD00062</v>
      </c>
      <c r="C62" s="3">
        <f>IFERROR(VLOOKUP(B62,'01_Main_Dataset'!A:L,9,FALSE),0)</f>
        <v>417.59</v>
      </c>
      <c r="D62" s="3">
        <f>IFERROR(VLOOKUP(B62,'01_Main_Dataset'!A:L,11,FALSE),0)</f>
        <v>119.95</v>
      </c>
    </row>
    <row r="63" spans="2:4" ht="15.75" customHeight="1">
      <c r="B63" s="3" t="str">
        <f>'01_Main_Dataset'!A63</f>
        <v>ORD00063</v>
      </c>
      <c r="C63" s="3">
        <f>IFERROR(VLOOKUP(B63,'01_Main_Dataset'!A:L,9,FALSE),0)</f>
        <v>977.64</v>
      </c>
      <c r="D63" s="3">
        <f>IFERROR(VLOOKUP(B63,'01_Main_Dataset'!A:L,11,FALSE),0)</f>
        <v>214.86</v>
      </c>
    </row>
    <row r="64" spans="2:4" ht="15.75" customHeight="1">
      <c r="B64" s="3" t="str">
        <f>'01_Main_Dataset'!A64</f>
        <v>ORD00064</v>
      </c>
      <c r="C64" s="3">
        <f>IFERROR(VLOOKUP(B64,'01_Main_Dataset'!A:L,9,FALSE),0)</f>
        <v>1023.3</v>
      </c>
      <c r="D64" s="3">
        <f>IFERROR(VLOOKUP(B64,'01_Main_Dataset'!A:L,11,FALSE),0)</f>
        <v>267.27999999999997</v>
      </c>
    </row>
    <row r="65" spans="2:4" ht="15.75" customHeight="1">
      <c r="B65" s="3" t="str">
        <f>'01_Main_Dataset'!A65</f>
        <v>ORD00065</v>
      </c>
      <c r="C65" s="3">
        <f>IFERROR(VLOOKUP(B65,'01_Main_Dataset'!A:L,9,FALSE),0)</f>
        <v>327.85</v>
      </c>
      <c r="D65" s="3">
        <f>IFERROR(VLOOKUP(B65,'01_Main_Dataset'!A:L,11,FALSE),0)</f>
        <v>73.34</v>
      </c>
    </row>
    <row r="66" spans="2:4" ht="15.75" customHeight="1">
      <c r="B66" s="3" t="str">
        <f>'01_Main_Dataset'!A66</f>
        <v>ORD00066</v>
      </c>
      <c r="C66" s="3">
        <f>IFERROR(VLOOKUP(B66,'01_Main_Dataset'!A:L,9,FALSE),0)</f>
        <v>1893.28</v>
      </c>
      <c r="D66" s="3">
        <f>IFERROR(VLOOKUP(B66,'01_Main_Dataset'!A:L,11,FALSE),0)</f>
        <v>620.61</v>
      </c>
    </row>
    <row r="67" spans="2:4" ht="15.75" customHeight="1">
      <c r="B67" s="3" t="str">
        <f>'01_Main_Dataset'!A67</f>
        <v>ORD00067</v>
      </c>
      <c r="C67" s="3">
        <f>IFERROR(VLOOKUP(B67,'01_Main_Dataset'!A:L,9,FALSE),0)</f>
        <v>1635.46</v>
      </c>
      <c r="D67" s="3">
        <f>IFERROR(VLOOKUP(B67,'01_Main_Dataset'!A:L,11,FALSE),0)</f>
        <v>176.5</v>
      </c>
    </row>
    <row r="68" spans="2:4" ht="15.75" customHeight="1">
      <c r="B68" s="3" t="str">
        <f>'01_Main_Dataset'!A68</f>
        <v>ORD00068</v>
      </c>
      <c r="C68" s="3">
        <f>IFERROR(VLOOKUP(B68,'01_Main_Dataset'!A:L,9,FALSE),0)</f>
        <v>1865.98</v>
      </c>
      <c r="D68" s="3">
        <f>IFERROR(VLOOKUP(B68,'01_Main_Dataset'!A:L,11,FALSE),0)</f>
        <v>331.52</v>
      </c>
    </row>
    <row r="69" spans="2:4" ht="15.75" customHeight="1">
      <c r="B69" s="3" t="str">
        <f>'01_Main_Dataset'!A69</f>
        <v>ORD00069</v>
      </c>
      <c r="C69" s="3">
        <f>IFERROR(VLOOKUP(B69,'01_Main_Dataset'!A:L,9,FALSE),0)</f>
        <v>747.25</v>
      </c>
      <c r="D69" s="3">
        <f>IFERROR(VLOOKUP(B69,'01_Main_Dataset'!A:L,11,FALSE),0)</f>
        <v>268.73</v>
      </c>
    </row>
    <row r="70" spans="2:4" ht="15.75" customHeight="1">
      <c r="B70" s="3" t="str">
        <f>'01_Main_Dataset'!A70</f>
        <v>ORD00070</v>
      </c>
      <c r="C70" s="3">
        <f>IFERROR(VLOOKUP(B70,'01_Main_Dataset'!A:L,9,FALSE),0)</f>
        <v>675.05</v>
      </c>
      <c r="D70" s="3">
        <f>IFERROR(VLOOKUP(B70,'01_Main_Dataset'!A:L,11,FALSE),0)</f>
        <v>184.81</v>
      </c>
    </row>
    <row r="71" spans="2:4" ht="15.75" customHeight="1">
      <c r="B71" s="3" t="str">
        <f>'01_Main_Dataset'!A71</f>
        <v>ORD00071</v>
      </c>
      <c r="C71" s="3">
        <f>IFERROR(VLOOKUP(B71,'01_Main_Dataset'!A:L,9,FALSE),0)</f>
        <v>1335.36</v>
      </c>
      <c r="D71" s="3">
        <f>IFERROR(VLOOKUP(B71,'01_Main_Dataset'!A:L,11,FALSE),0)</f>
        <v>165.23</v>
      </c>
    </row>
    <row r="72" spans="2:4" ht="15.75" customHeight="1">
      <c r="B72" s="3" t="str">
        <f>'01_Main_Dataset'!A72</f>
        <v>ORD00072</v>
      </c>
      <c r="C72" s="3">
        <f>IFERROR(VLOOKUP(B72,'01_Main_Dataset'!A:L,9,FALSE),0)</f>
        <v>1746.75</v>
      </c>
      <c r="D72" s="3">
        <f>IFERROR(VLOOKUP(B72,'01_Main_Dataset'!A:L,11,FALSE),0)</f>
        <v>504.57</v>
      </c>
    </row>
    <row r="73" spans="2:4" ht="15.75" customHeight="1">
      <c r="B73" s="3" t="str">
        <f>'01_Main_Dataset'!A73</f>
        <v>ORD00073</v>
      </c>
      <c r="C73" s="3">
        <f>IFERROR(VLOOKUP(B73,'01_Main_Dataset'!A:L,9,FALSE),0)</f>
        <v>1292.6500000000001</v>
      </c>
      <c r="D73" s="3">
        <f>IFERROR(VLOOKUP(B73,'01_Main_Dataset'!A:L,11,FALSE),0)</f>
        <v>339.52</v>
      </c>
    </row>
    <row r="74" spans="2:4" ht="15.75" customHeight="1">
      <c r="B74" s="3" t="str">
        <f>'01_Main_Dataset'!A74</f>
        <v>ORD00074</v>
      </c>
      <c r="C74" s="3">
        <f>IFERROR(VLOOKUP(B74,'01_Main_Dataset'!A:L,9,FALSE),0)</f>
        <v>488.13</v>
      </c>
      <c r="D74" s="3">
        <f>IFERROR(VLOOKUP(B74,'01_Main_Dataset'!A:L,11,FALSE),0)</f>
        <v>57.13</v>
      </c>
    </row>
    <row r="75" spans="2:4" ht="15.75" customHeight="1">
      <c r="B75" s="3" t="str">
        <f>'01_Main_Dataset'!A75</f>
        <v>ORD00075</v>
      </c>
      <c r="C75" s="3">
        <f>IFERROR(VLOOKUP(B75,'01_Main_Dataset'!A:L,9,FALSE),0)</f>
        <v>1785.41</v>
      </c>
      <c r="D75" s="3">
        <f>IFERROR(VLOOKUP(B75,'01_Main_Dataset'!A:L,11,FALSE),0)</f>
        <v>556.27</v>
      </c>
    </row>
    <row r="76" spans="2:4" ht="15.75" customHeight="1">
      <c r="B76" s="3" t="str">
        <f>'01_Main_Dataset'!A76</f>
        <v>ORD00076</v>
      </c>
      <c r="C76" s="3">
        <f>IFERROR(VLOOKUP(B76,'01_Main_Dataset'!A:L,9,FALSE),0)</f>
        <v>1524.37</v>
      </c>
      <c r="D76" s="3">
        <f>IFERROR(VLOOKUP(B76,'01_Main_Dataset'!A:L,11,FALSE),0)</f>
        <v>264.33999999999997</v>
      </c>
    </row>
    <row r="77" spans="2:4" ht="15.75" customHeight="1">
      <c r="B77" s="3" t="str">
        <f>'01_Main_Dataset'!A77</f>
        <v>ORD00077</v>
      </c>
      <c r="C77" s="3">
        <f>IFERROR(VLOOKUP(B77,'01_Main_Dataset'!A:L,9,FALSE),0)</f>
        <v>1723.73</v>
      </c>
      <c r="D77" s="3">
        <f>IFERROR(VLOOKUP(B77,'01_Main_Dataset'!A:L,11,FALSE),0)</f>
        <v>619.78</v>
      </c>
    </row>
    <row r="78" spans="2:4" ht="15.75" customHeight="1">
      <c r="B78" s="3" t="str">
        <f>'01_Main_Dataset'!A78</f>
        <v>ORD00078</v>
      </c>
      <c r="C78" s="3">
        <f>IFERROR(VLOOKUP(B78,'01_Main_Dataset'!A:L,9,FALSE),0)</f>
        <v>304.81</v>
      </c>
      <c r="D78" s="3">
        <f>IFERROR(VLOOKUP(B78,'01_Main_Dataset'!A:L,11,FALSE),0)</f>
        <v>75.63</v>
      </c>
    </row>
    <row r="79" spans="2:4" ht="15.75" customHeight="1">
      <c r="B79" s="3" t="str">
        <f>'01_Main_Dataset'!A79</f>
        <v>ORD00079</v>
      </c>
      <c r="C79" s="3">
        <f>IFERROR(VLOOKUP(B79,'01_Main_Dataset'!A:L,9,FALSE),0)</f>
        <v>918.17</v>
      </c>
      <c r="D79" s="3">
        <f>IFERROR(VLOOKUP(B79,'01_Main_Dataset'!A:L,11,FALSE),0)</f>
        <v>70.569999999999993</v>
      </c>
    </row>
    <row r="80" spans="2: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D100"/>
  <sheetViews>
    <sheetView workbookViewId="0">
      <selection activeCell="D11" sqref="D11"/>
    </sheetView>
  </sheetViews>
  <sheetFormatPr defaultColWidth="14.44140625" defaultRowHeight="15" customHeight="1"/>
  <cols>
    <col min="1" max="1" width="43.5546875" bestFit="1" customWidth="1"/>
    <col min="2" max="3" width="8" bestFit="1" customWidth="1"/>
    <col min="4" max="4" width="7" bestFit="1" customWidth="1"/>
    <col min="5" max="11" width="8.6640625" customWidth="1"/>
  </cols>
  <sheetData>
    <row r="1" spans="1:4" ht="14.4">
      <c r="A1" s="20" t="s">
        <v>1223</v>
      </c>
      <c r="B1" s="23" t="s">
        <v>8</v>
      </c>
      <c r="C1" s="23" t="s">
        <v>9</v>
      </c>
      <c r="D1" s="23" t="s">
        <v>10</v>
      </c>
    </row>
    <row r="2" spans="1:4" ht="14.4">
      <c r="A2" s="21" t="s">
        <v>1261</v>
      </c>
      <c r="B2" s="3">
        <f>HLOOKUP("Sales",'01_Main_Dataset'!A1:L400,2,FALSE)</f>
        <v>971.62</v>
      </c>
      <c r="C2" s="3">
        <f>HLOOKUP("Quantity",'01_Main_Dataset'!A1:L400,2,FALSE)</f>
        <v>5</v>
      </c>
      <c r="D2" s="3">
        <f>HLOOKUP("Profit",'01_Main_Dataset'!A1:L400,2,FALSE)</f>
        <v>327.08999999999997</v>
      </c>
    </row>
    <row r="3" spans="1:4" ht="14.4">
      <c r="A3" s="21" t="s">
        <v>1262</v>
      </c>
      <c r="B3" s="3">
        <f>HLOOKUP("Sales",'01_Main_Dataset'!A1:L400,3,FALSE)</f>
        <v>182.55</v>
      </c>
      <c r="C3" s="3">
        <f>HLOOKUP("Quantity",'01_Main_Dataset'!A1:L400,3,FALSE)</f>
        <v>8</v>
      </c>
      <c r="D3" s="3">
        <f>HLOOKUP("Profit",'01_Main_Dataset'!A1:L400,3,FALSE)</f>
        <v>44.65</v>
      </c>
    </row>
    <row r="4" spans="1:4" ht="14.4">
      <c r="A4" s="21" t="s">
        <v>1263</v>
      </c>
      <c r="B4" s="3">
        <f>HLOOKUP("Sales",'01_Main_Dataset'!A1:L400,4,FALSE)</f>
        <v>298.11</v>
      </c>
      <c r="C4" s="3">
        <f>HLOOKUP("Quantity",'01_Main_Dataset'!A1:L400,4,FALSE)</f>
        <v>4</v>
      </c>
      <c r="D4" s="3">
        <f>HLOOKUP("Profit",'01_Main_Dataset'!A1:L400,4,FALSE)</f>
        <v>109.47</v>
      </c>
    </row>
    <row r="5" spans="1:4" ht="14.4">
      <c r="A5" s="21" t="s">
        <v>1264</v>
      </c>
      <c r="B5" s="3">
        <f>HLOOKUP("Sales",'01_Main_Dataset'!A1:L400,5,FALSE)</f>
        <v>713.06</v>
      </c>
      <c r="C5" s="3">
        <f>HLOOKUP("Quantity",'01_Main_Dataset'!A1:L400,5,FALSE)</f>
        <v>1</v>
      </c>
      <c r="D5" s="3">
        <f>HLOOKUP("Profit",'01_Main_Dataset'!A1:L400,5,FALSE)</f>
        <v>186.05</v>
      </c>
    </row>
    <row r="6" spans="1:4" thickBot="1">
      <c r="A6" s="22" t="s">
        <v>1265</v>
      </c>
      <c r="B6" s="3">
        <f>HLOOKUP("Sales",'01_Main_Dataset'!A1:L400,6,FALSE)</f>
        <v>1037.92</v>
      </c>
      <c r="C6" s="3">
        <f>HLOOKUP("Quantity",'01_Main_Dataset'!A1:L400,6,FALSE)</f>
        <v>2</v>
      </c>
      <c r="D6" s="3">
        <f>HLOOKUP("Profit",'01_Main_Dataset'!A1:L400,6,FALSE)</f>
        <v>393.31</v>
      </c>
    </row>
    <row r="7" spans="1:4" ht="14.4">
      <c r="B7" s="3">
        <f>HLOOKUP("Sales",'01_Main_Dataset'!A1:L400,7,FALSE)</f>
        <v>652.03</v>
      </c>
      <c r="C7" s="3">
        <f>HLOOKUP("Quantity",'01_Main_Dataset'!A1:L400,7,FALSE)</f>
        <v>5</v>
      </c>
      <c r="D7" s="3">
        <f>HLOOKUP("Profit",'01_Main_Dataset'!A1:L400,7,FALSE)</f>
        <v>260.8</v>
      </c>
    </row>
    <row r="8" spans="1:4" ht="14.4">
      <c r="B8" s="3">
        <f>HLOOKUP("Sales",'01_Main_Dataset'!A1:L400,8,FALSE)</f>
        <v>1260.49</v>
      </c>
      <c r="C8" s="3">
        <f>HLOOKUP("Quantity",'01_Main_Dataset'!A1:L400,8,FALSE)</f>
        <v>2</v>
      </c>
      <c r="D8" s="3">
        <f>HLOOKUP("Profit",'01_Main_Dataset'!A1:L400,8,FALSE)</f>
        <v>365.39</v>
      </c>
    </row>
    <row r="9" spans="1:4" ht="14.4">
      <c r="B9" s="3">
        <f>HLOOKUP("Sales",'01_Main_Dataset'!A1:L400,9,FALSE)</f>
        <v>1173.22</v>
      </c>
      <c r="C9" s="3">
        <f>HLOOKUP("Quantity",'01_Main_Dataset'!A1:L400,9,FALSE)</f>
        <v>8</v>
      </c>
      <c r="D9" s="3">
        <f>HLOOKUP("Profit",'01_Main_Dataset'!A1:L400,9,FALSE)</f>
        <v>180.51</v>
      </c>
    </row>
    <row r="10" spans="1:4" ht="14.4">
      <c r="B10" s="3">
        <f>HLOOKUP("Sales",'01_Main_Dataset'!A1:L400,10,FALSE)</f>
        <v>312.23</v>
      </c>
      <c r="C10" s="3">
        <f>HLOOKUP("Quantity",'01_Main_Dataset'!A1:L400,10,FALSE)</f>
        <v>9</v>
      </c>
      <c r="D10" s="3">
        <f>HLOOKUP("Profit",'01_Main_Dataset'!A1:L400,10,FALSE)</f>
        <v>102.62</v>
      </c>
    </row>
    <row r="11" spans="1:4" ht="14.4">
      <c r="B11" s="3">
        <f>HLOOKUP("Sales",'01_Main_Dataset'!A1:L400,11,FALSE)</f>
        <v>1797.94</v>
      </c>
      <c r="C11" s="3">
        <f>HLOOKUP("Quantity",'01_Main_Dataset'!A1:L400,11,FALSE)</f>
        <v>10</v>
      </c>
      <c r="D11" s="3">
        <f>HLOOKUP("Profit",'01_Main_Dataset'!A1:L400,11,FALSE)</f>
        <v>632.53</v>
      </c>
    </row>
    <row r="12" spans="1:4" ht="14.4">
      <c r="B12" s="3">
        <f>HLOOKUP("Sales",'01_Main_Dataset'!A1:L400,12,FALSE)</f>
        <v>1781.4</v>
      </c>
      <c r="C12" s="3">
        <f>HLOOKUP("Quantity",'01_Main_Dataset'!A1:L400,12,FALSE)</f>
        <v>1</v>
      </c>
      <c r="D12" s="3">
        <f>HLOOKUP("Profit",'01_Main_Dataset'!A1:L400,12,FALSE)</f>
        <v>361.91</v>
      </c>
    </row>
    <row r="13" spans="1:4" ht="14.4">
      <c r="B13" s="3">
        <f>HLOOKUP("Sales",'01_Main_Dataset'!A1:L400,13,FALSE)</f>
        <v>1205.07</v>
      </c>
      <c r="C13" s="3">
        <f>HLOOKUP("Quantity",'01_Main_Dataset'!A1:L400,13,FALSE)</f>
        <v>9</v>
      </c>
      <c r="D13" s="3">
        <f>HLOOKUP("Profit",'01_Main_Dataset'!A1:L400,13,FALSE)</f>
        <v>367.14</v>
      </c>
    </row>
    <row r="14" spans="1:4" ht="14.4">
      <c r="B14" s="3">
        <f>HLOOKUP("Sales",'01_Main_Dataset'!A1:L400,14,FALSE)</f>
        <v>913.99</v>
      </c>
      <c r="C14" s="3">
        <f>HLOOKUP("Quantity",'01_Main_Dataset'!A1:L400,14,FALSE)</f>
        <v>1</v>
      </c>
      <c r="D14" s="3">
        <f>HLOOKUP("Profit",'01_Main_Dataset'!A1:L400,14,FALSE)</f>
        <v>324.67</v>
      </c>
    </row>
    <row r="15" spans="1:4" ht="14.4">
      <c r="B15" s="3">
        <f>HLOOKUP("Sales",'01_Main_Dataset'!A1:L400,15,FALSE)</f>
        <v>738.88</v>
      </c>
      <c r="C15" s="3">
        <f>HLOOKUP("Quantity",'01_Main_Dataset'!A1:L400,15,FALSE)</f>
        <v>7</v>
      </c>
      <c r="D15" s="3">
        <f>HLOOKUP("Profit",'01_Main_Dataset'!A1:L400,15,FALSE)</f>
        <v>95.17</v>
      </c>
    </row>
    <row r="16" spans="1:4" ht="14.4">
      <c r="B16" s="3">
        <f>HLOOKUP("Sales",'01_Main_Dataset'!A1:L400,16,FALSE)</f>
        <v>750.85</v>
      </c>
      <c r="C16" s="3">
        <f>HLOOKUP("Quantity",'01_Main_Dataset'!A1:L400,16,FALSE)</f>
        <v>5</v>
      </c>
      <c r="D16" s="3">
        <f>HLOOKUP("Profit",'01_Main_Dataset'!A1:L400,16,FALSE)</f>
        <v>281.77</v>
      </c>
    </row>
    <row r="17" spans="2:4" ht="14.4">
      <c r="B17" s="3">
        <f>HLOOKUP("Sales",'01_Main_Dataset'!A1:L400,17,FALSE)</f>
        <v>1196.5</v>
      </c>
      <c r="C17" s="3">
        <f>HLOOKUP("Quantity",'01_Main_Dataset'!A1:L400,17,FALSE)</f>
        <v>2</v>
      </c>
      <c r="D17" s="3">
        <f>HLOOKUP("Profit",'01_Main_Dataset'!A1:L400,17,FALSE)</f>
        <v>354.35</v>
      </c>
    </row>
    <row r="18" spans="2:4" ht="14.4">
      <c r="B18" s="3">
        <f>HLOOKUP("Sales",'01_Main_Dataset'!A1:L400,18,FALSE)</f>
        <v>1042.19</v>
      </c>
      <c r="C18" s="3">
        <f>HLOOKUP("Quantity",'01_Main_Dataset'!A1:L400,18,FALSE)</f>
        <v>2</v>
      </c>
      <c r="D18" s="3">
        <f>HLOOKUP("Profit",'01_Main_Dataset'!A1:L400,18,FALSE)</f>
        <v>138.52000000000001</v>
      </c>
    </row>
    <row r="19" spans="2:4" ht="14.4">
      <c r="B19" s="3">
        <f>HLOOKUP("Sales",'01_Main_Dataset'!A1:L400,19,FALSE)</f>
        <v>686.09</v>
      </c>
      <c r="C19" s="3">
        <f>HLOOKUP("Quantity",'01_Main_Dataset'!A1:L400,19,FALSE)</f>
        <v>6</v>
      </c>
      <c r="D19" s="3">
        <f>HLOOKUP("Profit",'01_Main_Dataset'!A1:L400,19,FALSE)</f>
        <v>105.82</v>
      </c>
    </row>
    <row r="20" spans="2:4" ht="14.4">
      <c r="B20" s="3">
        <f>HLOOKUP("Sales",'01_Main_Dataset'!A1:L400,20,FALSE)</f>
        <v>1416.07</v>
      </c>
      <c r="C20" s="3">
        <f>HLOOKUP("Quantity",'01_Main_Dataset'!A1:L400,20,FALSE)</f>
        <v>4</v>
      </c>
      <c r="D20" s="3">
        <f>HLOOKUP("Profit",'01_Main_Dataset'!A1:L400,20,FALSE)</f>
        <v>225.85</v>
      </c>
    </row>
    <row r="21" spans="2:4" ht="15.75" customHeight="1">
      <c r="B21" s="3">
        <f>HLOOKUP("Sales",'01_Main_Dataset'!A1:L400,21,FALSE)</f>
        <v>1144.18</v>
      </c>
      <c r="C21" s="3">
        <f>HLOOKUP("Quantity",'01_Main_Dataset'!A1:L400,21,FALSE)</f>
        <v>5</v>
      </c>
      <c r="D21" s="3">
        <f>HLOOKUP("Profit",'01_Main_Dataset'!A1:L400,21,FALSE)</f>
        <v>233.65</v>
      </c>
    </row>
    <row r="22" spans="2:4" ht="15.75" customHeight="1">
      <c r="B22" s="3">
        <f>HLOOKUP("Sales",'01_Main_Dataset'!A1:L400,22,FALSE)</f>
        <v>252.73</v>
      </c>
      <c r="C22" s="3">
        <f>HLOOKUP("Quantity",'01_Main_Dataset'!A1:L400,22,FALSE)</f>
        <v>5</v>
      </c>
      <c r="D22" s="3">
        <f>HLOOKUP("Profit",'01_Main_Dataset'!A1:L400,22,FALSE)</f>
        <v>31.14</v>
      </c>
    </row>
    <row r="23" spans="2:4" ht="15.75" customHeight="1">
      <c r="B23" s="3">
        <f>HLOOKUP("Sales",'01_Main_Dataset'!A1:L400,23,FALSE)</f>
        <v>1467.17</v>
      </c>
      <c r="C23" s="3">
        <f>HLOOKUP("Quantity",'01_Main_Dataset'!A1:L400,23,FALSE)</f>
        <v>10</v>
      </c>
      <c r="D23" s="3">
        <f>HLOOKUP("Profit",'01_Main_Dataset'!A1:L400,23,FALSE)</f>
        <v>157.78</v>
      </c>
    </row>
    <row r="24" spans="2:4" ht="15.75" customHeight="1">
      <c r="B24" s="3">
        <f>HLOOKUP("Sales",'01_Main_Dataset'!A1:L400,24,FALSE)</f>
        <v>939.48</v>
      </c>
      <c r="C24" s="3">
        <f>HLOOKUP("Quantity",'01_Main_Dataset'!A1:L400,24,FALSE)</f>
        <v>2</v>
      </c>
      <c r="D24" s="3">
        <f>HLOOKUP("Profit",'01_Main_Dataset'!A1:L400,24,FALSE)</f>
        <v>166.13</v>
      </c>
    </row>
    <row r="25" spans="2:4" ht="15.75" customHeight="1">
      <c r="B25" s="3">
        <f>HLOOKUP("Sales",'01_Main_Dataset'!A1:L400,25,FALSE)</f>
        <v>1696.84</v>
      </c>
      <c r="C25" s="3">
        <f>HLOOKUP("Quantity",'01_Main_Dataset'!A1:L400,25,FALSE)</f>
        <v>4</v>
      </c>
      <c r="D25" s="3">
        <f>HLOOKUP("Profit",'01_Main_Dataset'!A1:L400,25,FALSE)</f>
        <v>348.3</v>
      </c>
    </row>
    <row r="26" spans="2:4" ht="15.75" customHeight="1">
      <c r="B26" s="3">
        <f>HLOOKUP("Sales",'01_Main_Dataset'!A1:L400,26,FALSE)</f>
        <v>788.51</v>
      </c>
      <c r="C26" s="3">
        <f>HLOOKUP("Quantity",'01_Main_Dataset'!A1:L400,26,FALSE)</f>
        <v>8</v>
      </c>
      <c r="D26" s="3">
        <f>HLOOKUP("Profit",'01_Main_Dataset'!A1:L400,26,FALSE)</f>
        <v>292.33</v>
      </c>
    </row>
    <row r="27" spans="2:4" ht="15.75" customHeight="1">
      <c r="B27" s="3">
        <f>HLOOKUP("Sales",'01_Main_Dataset'!A1:L400,27,FALSE)</f>
        <v>1419.02</v>
      </c>
      <c r="C27" s="3">
        <f>HLOOKUP("Quantity",'01_Main_Dataset'!A1:L400,27,FALSE)</f>
        <v>4</v>
      </c>
      <c r="D27" s="3">
        <f>HLOOKUP("Profit",'01_Main_Dataset'!A1:L400,27,FALSE)</f>
        <v>500.65</v>
      </c>
    </row>
    <row r="28" spans="2:4" ht="15.75" customHeight="1">
      <c r="B28" s="3">
        <f>HLOOKUP("Sales",'01_Main_Dataset'!A1:L400,28,FALSE)</f>
        <v>159.15</v>
      </c>
      <c r="C28" s="3">
        <f>HLOOKUP("Quantity",'01_Main_Dataset'!A1:L400,28,FALSE)</f>
        <v>6</v>
      </c>
      <c r="D28" s="3">
        <f>HLOOKUP("Profit",'01_Main_Dataset'!A1:L400,28,FALSE)</f>
        <v>35.229999999999997</v>
      </c>
    </row>
    <row r="29" spans="2:4" ht="15.75" customHeight="1">
      <c r="B29" s="3">
        <f>HLOOKUP("Sales",'01_Main_Dataset'!A1:L400,29,FALSE)</f>
        <v>1300.57</v>
      </c>
      <c r="C29" s="3">
        <f>HLOOKUP("Quantity",'01_Main_Dataset'!A1:L400,29,FALSE)</f>
        <v>3</v>
      </c>
      <c r="D29" s="3">
        <f>HLOOKUP("Profit",'01_Main_Dataset'!A1:L400,29,FALSE)</f>
        <v>416.02</v>
      </c>
    </row>
    <row r="30" spans="2:4" ht="15.75" customHeight="1">
      <c r="B30" s="3">
        <f>HLOOKUP("Sales",'01_Main_Dataset'!A1:L400,30,FALSE)</f>
        <v>491.92</v>
      </c>
      <c r="C30" s="3">
        <f>HLOOKUP("Quantity",'01_Main_Dataset'!A1:L400,30,FALSE)</f>
        <v>2</v>
      </c>
      <c r="D30" s="3">
        <f>HLOOKUP("Profit",'01_Main_Dataset'!A1:L400,30,FALSE)</f>
        <v>79.930000000000007</v>
      </c>
    </row>
    <row r="31" spans="2:4" ht="15.75" customHeight="1">
      <c r="B31" s="3">
        <f>HLOOKUP("Sales",'01_Main_Dataset'!A1:L400,31,FALSE)</f>
        <v>1838.26</v>
      </c>
      <c r="C31" s="3">
        <f>HLOOKUP("Quantity",'01_Main_Dataset'!A1:L400,31,FALSE)</f>
        <v>9</v>
      </c>
      <c r="D31" s="3">
        <f>HLOOKUP("Profit",'01_Main_Dataset'!A1:L400,31,FALSE)</f>
        <v>96.41</v>
      </c>
    </row>
    <row r="32" spans="2:4" ht="15.75" customHeight="1">
      <c r="B32" s="3">
        <f>HLOOKUP("Sales",'01_Main_Dataset'!A1:L400,32,FALSE)</f>
        <v>194.86</v>
      </c>
      <c r="C32" s="3">
        <f>HLOOKUP("Quantity",'01_Main_Dataset'!A1:L400,32,FALSE)</f>
        <v>5</v>
      </c>
      <c r="D32" s="3">
        <f>HLOOKUP("Profit",'01_Main_Dataset'!A1:L400,32,FALSE)</f>
        <v>69.540000000000006</v>
      </c>
    </row>
    <row r="33" spans="2:4" ht="15.75" customHeight="1">
      <c r="B33" s="3">
        <f>HLOOKUP("Sales",'01_Main_Dataset'!A1:L400,33,FALSE)</f>
        <v>1241.1300000000001</v>
      </c>
      <c r="C33" s="3">
        <f>HLOOKUP("Quantity",'01_Main_Dataset'!A1:L400,33,FALSE)</f>
        <v>2</v>
      </c>
      <c r="D33" s="3">
        <f>HLOOKUP("Profit",'01_Main_Dataset'!A1:L400,33,FALSE)</f>
        <v>151.79</v>
      </c>
    </row>
    <row r="34" spans="2:4" ht="15.75" customHeight="1">
      <c r="B34" s="3">
        <f>HLOOKUP("Sales",'01_Main_Dataset'!A1:L400,34,FALSE)</f>
        <v>1769.91</v>
      </c>
      <c r="C34" s="3">
        <f>HLOOKUP("Quantity",'01_Main_Dataset'!A1:L400,34,FALSE)</f>
        <v>10</v>
      </c>
      <c r="D34" s="3">
        <f>HLOOKUP("Profit",'01_Main_Dataset'!A1:L400,34,FALSE)</f>
        <v>403.97</v>
      </c>
    </row>
    <row r="35" spans="2:4" ht="15.75" customHeight="1">
      <c r="B35" s="3">
        <f>HLOOKUP("Sales",'01_Main_Dataset'!A1:L400,35,FALSE)</f>
        <v>1881.77</v>
      </c>
      <c r="C35" s="3">
        <f>HLOOKUP("Quantity",'01_Main_Dataset'!A1:L400,35,FALSE)</f>
        <v>3</v>
      </c>
      <c r="D35" s="3">
        <f>HLOOKUP("Profit",'01_Main_Dataset'!A1:L400,35,FALSE)</f>
        <v>605.04999999999995</v>
      </c>
    </row>
    <row r="36" spans="2:4" ht="15.75" customHeight="1">
      <c r="B36" s="3">
        <f>HLOOKUP("Sales",'01_Main_Dataset'!A1:L400,36,FALSE)</f>
        <v>1486.02</v>
      </c>
      <c r="C36" s="3">
        <f>HLOOKUP("Quantity",'01_Main_Dataset'!A1:L400,36,FALSE)</f>
        <v>4</v>
      </c>
      <c r="D36" s="3">
        <f>HLOOKUP("Profit",'01_Main_Dataset'!A1:L400,36,FALSE)</f>
        <v>470.08</v>
      </c>
    </row>
    <row r="37" spans="2:4" ht="15.75" customHeight="1">
      <c r="B37" s="3">
        <f>HLOOKUP("Sales",'01_Main_Dataset'!A1:L400,37,FALSE)</f>
        <v>192.67</v>
      </c>
      <c r="C37" s="3">
        <f>HLOOKUP("Quantity",'01_Main_Dataset'!A1:L400,37,FALSE)</f>
        <v>8</v>
      </c>
      <c r="D37" s="3">
        <f>HLOOKUP("Profit",'01_Main_Dataset'!A1:L400,37,FALSE)</f>
        <v>35.729999999999997</v>
      </c>
    </row>
    <row r="38" spans="2:4" ht="15.75" customHeight="1">
      <c r="B38" s="3">
        <f>HLOOKUP("Sales",'01_Main_Dataset'!A1:L400,38,FALSE)</f>
        <v>134.30000000000001</v>
      </c>
      <c r="C38" s="3">
        <f>HLOOKUP("Quantity",'01_Main_Dataset'!A1:L400,38,FALSE)</f>
        <v>7</v>
      </c>
      <c r="D38" s="3">
        <f>HLOOKUP("Profit",'01_Main_Dataset'!A1:L400,38,FALSE)</f>
        <v>30.2</v>
      </c>
    </row>
    <row r="39" spans="2:4" ht="15.75" customHeight="1">
      <c r="B39" s="3">
        <f>HLOOKUP("Sales",'01_Main_Dataset'!A1:L400,39,FALSE)</f>
        <v>1758.53</v>
      </c>
      <c r="C39" s="3">
        <f>HLOOKUP("Quantity",'01_Main_Dataset'!A1:L400,39,FALSE)</f>
        <v>10</v>
      </c>
      <c r="D39" s="3">
        <f>HLOOKUP("Profit",'01_Main_Dataset'!A1:L400,39,FALSE)</f>
        <v>422.09</v>
      </c>
    </row>
    <row r="40" spans="2:4" ht="15.75" customHeight="1">
      <c r="B40" s="3">
        <f>HLOOKUP("Sales",'01_Main_Dataset'!A1:L400,40,FALSE)</f>
        <v>940.78</v>
      </c>
      <c r="C40" s="3">
        <f>HLOOKUP("Quantity",'01_Main_Dataset'!A1:L400,40,FALSE)</f>
        <v>5</v>
      </c>
      <c r="D40" s="3">
        <f>HLOOKUP("Profit",'01_Main_Dataset'!A1:L400,40,FALSE)</f>
        <v>336.8</v>
      </c>
    </row>
    <row r="41" spans="2:4" ht="15.75" customHeight="1">
      <c r="B41" s="3">
        <f>HLOOKUP("Sales",'01_Main_Dataset'!A1:L400,41,FALSE)</f>
        <v>1117.02</v>
      </c>
      <c r="C41" s="3">
        <f>HLOOKUP("Quantity",'01_Main_Dataset'!A1:L400,41,FALSE)</f>
        <v>4</v>
      </c>
      <c r="D41" s="3">
        <f>HLOOKUP("Profit",'01_Main_Dataset'!A1:L400,41,FALSE)</f>
        <v>167.64</v>
      </c>
    </row>
    <row r="42" spans="2:4" ht="15.75" customHeight="1">
      <c r="B42" s="3">
        <f>HLOOKUP("Sales",'01_Main_Dataset'!A1:L400,42,FALSE)</f>
        <v>1329.2</v>
      </c>
      <c r="C42" s="3">
        <f>HLOOKUP("Quantity",'01_Main_Dataset'!A1:L400,42,FALSE)</f>
        <v>8</v>
      </c>
      <c r="D42" s="3">
        <f>HLOOKUP("Profit",'01_Main_Dataset'!A1:L400,42,FALSE)</f>
        <v>308.12</v>
      </c>
    </row>
    <row r="43" spans="2:4" ht="15.75" customHeight="1">
      <c r="B43" s="3">
        <f>HLOOKUP("Sales",'01_Main_Dataset'!A1:L400,43,FALSE)</f>
        <v>527.5</v>
      </c>
      <c r="C43" s="3">
        <f>HLOOKUP("Quantity",'01_Main_Dataset'!A1:L400,43,FALSE)</f>
        <v>7</v>
      </c>
      <c r="D43" s="3">
        <f>HLOOKUP("Profit",'01_Main_Dataset'!A1:L400,43,FALSE)</f>
        <v>192.06</v>
      </c>
    </row>
    <row r="44" spans="2:4" ht="15.75" customHeight="1">
      <c r="B44" s="3">
        <f>HLOOKUP("Sales",'01_Main_Dataset'!A1:L400,44,FALSE)</f>
        <v>728.73</v>
      </c>
      <c r="C44" s="3">
        <f>HLOOKUP("Quantity",'01_Main_Dataset'!A1:L400,44,FALSE)</f>
        <v>8</v>
      </c>
      <c r="D44" s="3">
        <f>HLOOKUP("Profit",'01_Main_Dataset'!A1:L400,44,FALSE)</f>
        <v>158.99</v>
      </c>
    </row>
    <row r="45" spans="2:4" ht="15.75" customHeight="1">
      <c r="B45" s="3">
        <f>HLOOKUP("Sales",'01_Main_Dataset'!A1:L400,45,FALSE)</f>
        <v>1948.51</v>
      </c>
      <c r="C45" s="3">
        <f>HLOOKUP("Quantity",'01_Main_Dataset'!A1:L400,45,FALSE)</f>
        <v>9</v>
      </c>
      <c r="D45" s="3">
        <f>HLOOKUP("Profit",'01_Main_Dataset'!A1:L400,45,FALSE)</f>
        <v>186.79</v>
      </c>
    </row>
    <row r="46" spans="2:4" ht="15.75" customHeight="1">
      <c r="B46" s="3">
        <f>HLOOKUP("Sales",'01_Main_Dataset'!A1:L400,46,FALSE)</f>
        <v>1648.64</v>
      </c>
      <c r="C46" s="3">
        <f>HLOOKUP("Quantity",'01_Main_Dataset'!A1:L400,46,FALSE)</f>
        <v>3</v>
      </c>
      <c r="D46" s="3">
        <f>HLOOKUP("Profit",'01_Main_Dataset'!A1:L400,46,FALSE)</f>
        <v>450.65</v>
      </c>
    </row>
    <row r="47" spans="2:4" ht="15.75" customHeight="1">
      <c r="B47" s="3">
        <f>HLOOKUP("Sales",'01_Main_Dataset'!A1:L400,47,FALSE)</f>
        <v>181.6</v>
      </c>
      <c r="C47" s="3">
        <f>HLOOKUP("Quantity",'01_Main_Dataset'!A1:L400,47,FALSE)</f>
        <v>5</v>
      </c>
      <c r="D47" s="3">
        <f>HLOOKUP("Profit",'01_Main_Dataset'!A1:L400,47,FALSE)</f>
        <v>50.35</v>
      </c>
    </row>
    <row r="48" spans="2:4" ht="15.75" customHeight="1">
      <c r="B48" s="3">
        <f>HLOOKUP("Sales",'01_Main_Dataset'!A1:L400,48,FALSE)</f>
        <v>1740.41</v>
      </c>
      <c r="C48" s="3">
        <f>HLOOKUP("Quantity",'01_Main_Dataset'!A1:L400,48,FALSE)</f>
        <v>10</v>
      </c>
      <c r="D48" s="3">
        <f>HLOOKUP("Profit",'01_Main_Dataset'!A1:L400,48,FALSE)</f>
        <v>565.72</v>
      </c>
    </row>
    <row r="49" spans="2:4" ht="15.75" customHeight="1">
      <c r="B49" s="3">
        <f>HLOOKUP("Sales",'01_Main_Dataset'!A1:L400,49,FALSE)</f>
        <v>1011.74</v>
      </c>
      <c r="C49" s="3">
        <f>HLOOKUP("Quantity",'01_Main_Dataset'!A1:L400,49,FALSE)</f>
        <v>8</v>
      </c>
      <c r="D49" s="3">
        <f>HLOOKUP("Profit",'01_Main_Dataset'!A1:L400,49,FALSE)</f>
        <v>58.48</v>
      </c>
    </row>
    <row r="50" spans="2:4" ht="15.75" customHeight="1">
      <c r="B50" s="3">
        <f>HLOOKUP("Sales",'01_Main_Dataset'!A1:L400,50,FALSE)</f>
        <v>1568.93</v>
      </c>
      <c r="C50" s="3">
        <f>HLOOKUP("Quantity",'01_Main_Dataset'!A1:L400,50,FALSE)</f>
        <v>7</v>
      </c>
      <c r="D50" s="3">
        <f>HLOOKUP("Profit",'01_Main_Dataset'!A1:L400,50,FALSE)</f>
        <v>460.99</v>
      </c>
    </row>
    <row r="51" spans="2:4" ht="15.75" customHeight="1">
      <c r="B51" s="3">
        <f>HLOOKUP("Sales",'01_Main_Dataset'!A1:L400,51,FALSE)</f>
        <v>683.02</v>
      </c>
      <c r="C51" s="3">
        <f>HLOOKUP("Quantity",'01_Main_Dataset'!A1:L400,51,FALSE)</f>
        <v>4</v>
      </c>
      <c r="D51" s="3">
        <f>HLOOKUP("Profit",'01_Main_Dataset'!A1:L400,51,FALSE)</f>
        <v>44.56</v>
      </c>
    </row>
    <row r="52" spans="2:4" ht="15.75" customHeight="1">
      <c r="B52" s="3">
        <f>HLOOKUP("Sales",'01_Main_Dataset'!A1:L400,52,FALSE)</f>
        <v>1496.75</v>
      </c>
      <c r="C52" s="3">
        <f>HLOOKUP("Quantity",'01_Main_Dataset'!A1:L400,52,FALSE)</f>
        <v>1</v>
      </c>
      <c r="D52" s="3">
        <f>HLOOKUP("Profit",'01_Main_Dataset'!A1:L400,52,FALSE)</f>
        <v>144.83000000000001</v>
      </c>
    </row>
    <row r="53" spans="2:4" ht="15.75" customHeight="1">
      <c r="B53" s="3">
        <f>HLOOKUP("Sales",'01_Main_Dataset'!A1:L400,53,FALSE)</f>
        <v>424.82</v>
      </c>
      <c r="C53" s="3">
        <f>HLOOKUP("Quantity",'01_Main_Dataset'!A1:L400,53,FALSE)</f>
        <v>9</v>
      </c>
      <c r="D53" s="3">
        <f>HLOOKUP("Profit",'01_Main_Dataset'!A1:L400,53,FALSE)</f>
        <v>162.72</v>
      </c>
    </row>
    <row r="54" spans="2:4" ht="15.75" customHeight="1">
      <c r="B54" s="3">
        <f>HLOOKUP("Sales",'01_Main_Dataset'!A1:L400,54,FALSE)</f>
        <v>1994.98</v>
      </c>
      <c r="C54" s="3">
        <f>HLOOKUP("Quantity",'01_Main_Dataset'!A1:L400,54,FALSE)</f>
        <v>7</v>
      </c>
      <c r="D54" s="3">
        <f>HLOOKUP("Profit",'01_Main_Dataset'!A1:L400,54,FALSE)</f>
        <v>361.57</v>
      </c>
    </row>
    <row r="55" spans="2:4" ht="15.75" customHeight="1">
      <c r="B55" s="3">
        <f>HLOOKUP("Sales",'01_Main_Dataset'!A1:L400,55,FALSE)</f>
        <v>1970.76</v>
      </c>
      <c r="C55" s="3">
        <f>HLOOKUP("Quantity",'01_Main_Dataset'!A1:L400,55,FALSE)</f>
        <v>9</v>
      </c>
      <c r="D55" s="3">
        <f>HLOOKUP("Profit",'01_Main_Dataset'!A1:L400,55,FALSE)</f>
        <v>683.91</v>
      </c>
    </row>
    <row r="56" spans="2:4" ht="15.75" customHeight="1">
      <c r="B56" s="3">
        <f>HLOOKUP("Sales",'01_Main_Dataset'!A1:L400,56,FALSE)</f>
        <v>896.36</v>
      </c>
      <c r="C56" s="3">
        <f>HLOOKUP("Quantity",'01_Main_Dataset'!A1:L400,56,FALSE)</f>
        <v>6</v>
      </c>
      <c r="D56" s="3">
        <f>HLOOKUP("Profit",'01_Main_Dataset'!A1:L400,56,FALSE)</f>
        <v>181.66</v>
      </c>
    </row>
    <row r="57" spans="2:4" ht="15.75" customHeight="1">
      <c r="B57" s="3">
        <f>HLOOKUP("Sales",'01_Main_Dataset'!A1:L400,57,FALSE)</f>
        <v>413.36</v>
      </c>
      <c r="C57" s="3">
        <f>HLOOKUP("Quantity",'01_Main_Dataset'!A1:L400,57,FALSE)</f>
        <v>5</v>
      </c>
      <c r="D57" s="3">
        <f>HLOOKUP("Profit",'01_Main_Dataset'!A1:L400,57,FALSE)</f>
        <v>128.26</v>
      </c>
    </row>
    <row r="58" spans="2:4" ht="15.75" customHeight="1">
      <c r="B58" s="3">
        <f>HLOOKUP("Sales",'01_Main_Dataset'!A1:L400,58,FALSE)</f>
        <v>1819.14</v>
      </c>
      <c r="C58" s="3">
        <f>HLOOKUP("Quantity",'01_Main_Dataset'!A1:L400,58,FALSE)</f>
        <v>3</v>
      </c>
      <c r="D58" s="3">
        <f>HLOOKUP("Profit",'01_Main_Dataset'!A1:L400,58,FALSE)</f>
        <v>717.51</v>
      </c>
    </row>
    <row r="59" spans="2:4" ht="15.75" customHeight="1">
      <c r="B59" s="3">
        <f>HLOOKUP("Sales",'01_Main_Dataset'!A1:L400,59,FALSE)</f>
        <v>188.39</v>
      </c>
      <c r="C59" s="3">
        <f>HLOOKUP("Quantity",'01_Main_Dataset'!A1:L400,59,FALSE)</f>
        <v>6</v>
      </c>
      <c r="D59" s="3">
        <f>HLOOKUP("Profit",'01_Main_Dataset'!A1:L400,59,FALSE)</f>
        <v>23.26</v>
      </c>
    </row>
    <row r="60" spans="2:4" ht="15.75" customHeight="1">
      <c r="B60" s="3">
        <f>HLOOKUP("Sales",'01_Main_Dataset'!A1:L400,60,FALSE)</f>
        <v>183.34</v>
      </c>
      <c r="C60" s="3">
        <f>HLOOKUP("Quantity",'01_Main_Dataset'!A1:L400,60,FALSE)</f>
        <v>5</v>
      </c>
      <c r="D60" s="3">
        <f>HLOOKUP("Profit",'01_Main_Dataset'!A1:L400,60,FALSE)</f>
        <v>17.62</v>
      </c>
    </row>
    <row r="61" spans="2:4" ht="15.75" customHeight="1">
      <c r="B61" s="3">
        <f>HLOOKUP("Sales",'01_Main_Dataset'!A1:L400,61,FALSE)</f>
        <v>1453.99</v>
      </c>
      <c r="C61" s="3">
        <f>HLOOKUP("Quantity",'01_Main_Dataset'!A1:L400,61,FALSE)</f>
        <v>9</v>
      </c>
      <c r="D61" s="3">
        <f>HLOOKUP("Profit",'01_Main_Dataset'!A1:L400,61,FALSE)</f>
        <v>237.69</v>
      </c>
    </row>
    <row r="62" spans="2:4" ht="15.75" customHeight="1">
      <c r="B62" s="3">
        <f>HLOOKUP("Sales",'01_Main_Dataset'!A1:L400,62,FALSE)</f>
        <v>417.59</v>
      </c>
      <c r="C62" s="3">
        <f>HLOOKUP("Quantity",'01_Main_Dataset'!A1:L400,62,FALSE)</f>
        <v>1</v>
      </c>
      <c r="D62" s="3">
        <f>HLOOKUP("Profit",'01_Main_Dataset'!A1:L400,62,FALSE)</f>
        <v>119.95</v>
      </c>
    </row>
    <row r="63" spans="2:4" ht="15.75" customHeight="1">
      <c r="B63" s="3">
        <f>HLOOKUP("Sales",'01_Main_Dataset'!A1:L400,63,FALSE)</f>
        <v>977.64</v>
      </c>
      <c r="C63" s="3">
        <f>HLOOKUP("Quantity",'01_Main_Dataset'!A1:L400,63,FALSE)</f>
        <v>7</v>
      </c>
      <c r="D63" s="3">
        <f>HLOOKUP("Profit",'01_Main_Dataset'!A1:L400,63,FALSE)</f>
        <v>214.86</v>
      </c>
    </row>
    <row r="64" spans="2:4" ht="15.75" customHeight="1">
      <c r="B64" s="3">
        <f>HLOOKUP("Sales",'01_Main_Dataset'!A1:L400,64,FALSE)</f>
        <v>1023.3</v>
      </c>
      <c r="C64" s="3">
        <f>HLOOKUP("Quantity",'01_Main_Dataset'!A1:L400,64,FALSE)</f>
        <v>6</v>
      </c>
      <c r="D64" s="3">
        <f>HLOOKUP("Profit",'01_Main_Dataset'!A1:L400,64,FALSE)</f>
        <v>267.27999999999997</v>
      </c>
    </row>
    <row r="65" spans="2:4" ht="15.75" customHeight="1">
      <c r="B65" s="3">
        <f>HLOOKUP("Sales",'01_Main_Dataset'!A1:L400,65,FALSE)</f>
        <v>327.85</v>
      </c>
      <c r="C65" s="3">
        <f>HLOOKUP("Quantity",'01_Main_Dataset'!A1:L400,65,FALSE)</f>
        <v>6</v>
      </c>
      <c r="D65" s="3">
        <f>HLOOKUP("Profit",'01_Main_Dataset'!A1:L400,65,FALSE)</f>
        <v>73.34</v>
      </c>
    </row>
    <row r="66" spans="2:4" ht="15.75" customHeight="1">
      <c r="B66" s="3">
        <f>HLOOKUP("Sales",'01_Main_Dataset'!A1:L400,66,FALSE)</f>
        <v>1893.28</v>
      </c>
      <c r="C66" s="3">
        <f>HLOOKUP("Quantity",'01_Main_Dataset'!A1:L400,66,FALSE)</f>
        <v>3</v>
      </c>
      <c r="D66" s="3">
        <f>HLOOKUP("Profit",'01_Main_Dataset'!A1:L400,66,FALSE)</f>
        <v>620.61</v>
      </c>
    </row>
    <row r="67" spans="2:4" ht="15.75" customHeight="1">
      <c r="B67" s="3">
        <f>HLOOKUP("Sales",'01_Main_Dataset'!A1:L400,67,FALSE)</f>
        <v>1635.46</v>
      </c>
      <c r="C67" s="3">
        <f>HLOOKUP("Quantity",'01_Main_Dataset'!A1:L400,67,FALSE)</f>
        <v>7</v>
      </c>
      <c r="D67" s="3">
        <f>HLOOKUP("Profit",'01_Main_Dataset'!A1:L400,67,FALSE)</f>
        <v>176.5</v>
      </c>
    </row>
    <row r="68" spans="2:4" ht="15.75" customHeight="1">
      <c r="B68" s="3">
        <f>HLOOKUP("Sales",'01_Main_Dataset'!A1:L400,68,FALSE)</f>
        <v>1865.98</v>
      </c>
      <c r="C68" s="3">
        <f>HLOOKUP("Quantity",'01_Main_Dataset'!A1:L400,68,FALSE)</f>
        <v>3</v>
      </c>
      <c r="D68" s="3">
        <f>HLOOKUP("Profit",'01_Main_Dataset'!A1:L400,68,FALSE)</f>
        <v>331.52</v>
      </c>
    </row>
    <row r="69" spans="2:4" ht="15.75" customHeight="1">
      <c r="B69" s="3">
        <f>HLOOKUP("Sales",'01_Main_Dataset'!A1:L400,69,FALSE)</f>
        <v>747.25</v>
      </c>
      <c r="C69" s="3">
        <f>HLOOKUP("Quantity",'01_Main_Dataset'!A1:L400,69,FALSE)</f>
        <v>7</v>
      </c>
      <c r="D69" s="3">
        <f>HLOOKUP("Profit",'01_Main_Dataset'!A1:L400,69,FALSE)</f>
        <v>268.73</v>
      </c>
    </row>
    <row r="70" spans="2:4" ht="15.75" customHeight="1">
      <c r="B70" s="3">
        <f>HLOOKUP("Sales",'01_Main_Dataset'!A1:L400,70,FALSE)</f>
        <v>675.05</v>
      </c>
      <c r="C70" s="3">
        <f>HLOOKUP("Quantity",'01_Main_Dataset'!A1:L400,70,FALSE)</f>
        <v>10</v>
      </c>
      <c r="D70" s="3">
        <f>HLOOKUP("Profit",'01_Main_Dataset'!A1:L400,70,FALSE)</f>
        <v>184.81</v>
      </c>
    </row>
    <row r="71" spans="2:4" ht="15.75" customHeight="1">
      <c r="B71" s="3">
        <f>HLOOKUP("Sales",'01_Main_Dataset'!A1:L400,71,FALSE)</f>
        <v>1335.36</v>
      </c>
      <c r="C71" s="3">
        <f>HLOOKUP("Quantity",'01_Main_Dataset'!A1:L400,71,FALSE)</f>
        <v>9</v>
      </c>
      <c r="D71" s="3">
        <f>HLOOKUP("Profit",'01_Main_Dataset'!A1:L400,71,FALSE)</f>
        <v>165.23</v>
      </c>
    </row>
    <row r="72" spans="2:4" ht="15.75" customHeight="1">
      <c r="B72" s="3">
        <f>HLOOKUP("Sales",'01_Main_Dataset'!A1:L400,72,FALSE)</f>
        <v>1746.75</v>
      </c>
      <c r="C72" s="3">
        <f>HLOOKUP("Quantity",'01_Main_Dataset'!A1:L400,72,FALSE)</f>
        <v>10</v>
      </c>
      <c r="D72" s="3">
        <f>HLOOKUP("Profit",'01_Main_Dataset'!A1:L400,72,FALSE)</f>
        <v>504.57</v>
      </c>
    </row>
    <row r="73" spans="2:4" ht="15.75" customHeight="1">
      <c r="B73" s="3">
        <f>HLOOKUP("Sales",'01_Main_Dataset'!A1:L400,73,FALSE)</f>
        <v>1292.6500000000001</v>
      </c>
      <c r="C73" s="3">
        <f>HLOOKUP("Quantity",'01_Main_Dataset'!A1:L400,73,FALSE)</f>
        <v>9</v>
      </c>
      <c r="D73" s="3">
        <f>HLOOKUP("Profit",'01_Main_Dataset'!A1:L400,73,FALSE)</f>
        <v>339.52</v>
      </c>
    </row>
    <row r="74" spans="2:4" ht="15.75" customHeight="1">
      <c r="B74" s="3">
        <f>HLOOKUP("Sales",'01_Main_Dataset'!A1:L400,74,FALSE)</f>
        <v>488.13</v>
      </c>
      <c r="C74" s="3">
        <f>HLOOKUP("Quantity",'01_Main_Dataset'!A1:L400,74,FALSE)</f>
        <v>8</v>
      </c>
      <c r="D74" s="3">
        <f>HLOOKUP("Profit",'01_Main_Dataset'!A1:L400,74,FALSE)</f>
        <v>57.13</v>
      </c>
    </row>
    <row r="75" spans="2:4" ht="15.75" customHeight="1">
      <c r="B75" s="3">
        <f>HLOOKUP("Sales",'01_Main_Dataset'!A1:L400,75,FALSE)</f>
        <v>1785.41</v>
      </c>
      <c r="C75" s="3">
        <f>HLOOKUP("Quantity",'01_Main_Dataset'!A1:L400,75,FALSE)</f>
        <v>10</v>
      </c>
      <c r="D75" s="3">
        <f>HLOOKUP("Profit",'01_Main_Dataset'!A1:L400,75,FALSE)</f>
        <v>556.27</v>
      </c>
    </row>
    <row r="76" spans="2:4" ht="15.75" customHeight="1">
      <c r="B76" s="3">
        <f>HLOOKUP("Sales",'01_Main_Dataset'!A1:L400,76,FALSE)</f>
        <v>1524.37</v>
      </c>
      <c r="C76" s="3">
        <f>HLOOKUP("Quantity",'01_Main_Dataset'!A1:L400,76,FALSE)</f>
        <v>8</v>
      </c>
      <c r="D76" s="3">
        <f>HLOOKUP("Profit",'01_Main_Dataset'!A1:L400,76,FALSE)</f>
        <v>264.33999999999997</v>
      </c>
    </row>
    <row r="77" spans="2:4" ht="15.75" customHeight="1">
      <c r="B77" s="3">
        <f>HLOOKUP("Sales",'01_Main_Dataset'!A1:L400,77,FALSE)</f>
        <v>1723.73</v>
      </c>
      <c r="C77" s="3">
        <f>HLOOKUP("Quantity",'01_Main_Dataset'!A1:L400,77,FALSE)</f>
        <v>8</v>
      </c>
      <c r="D77" s="3">
        <f>HLOOKUP("Profit",'01_Main_Dataset'!A1:L400,77,FALSE)</f>
        <v>619.78</v>
      </c>
    </row>
    <row r="78" spans="2:4" ht="15.75" customHeight="1">
      <c r="B78" s="3">
        <f>HLOOKUP("Sales",'01_Main_Dataset'!A1:L400,78,FALSE)</f>
        <v>304.81</v>
      </c>
      <c r="C78" s="3">
        <f>HLOOKUP("Quantity",'01_Main_Dataset'!A1:L400,78,FALSE)</f>
        <v>3</v>
      </c>
      <c r="D78" s="3">
        <f>HLOOKUP("Profit",'01_Main_Dataset'!A1:L400,78,FALSE)</f>
        <v>75.63</v>
      </c>
    </row>
    <row r="79" spans="2:4" ht="15.75" customHeight="1">
      <c r="B79" s="3">
        <f>HLOOKUP("Sales",'01_Main_Dataset'!A1:L400,79,FALSE)</f>
        <v>918.17</v>
      </c>
      <c r="C79" s="3">
        <f>HLOOKUP("Quantity",'01_Main_Dataset'!A1:L400,79,FALSE)</f>
        <v>9</v>
      </c>
      <c r="D79" s="3">
        <f>HLOOKUP("Profit",'01_Main_Dataset'!A1:L400,79,FALSE)</f>
        <v>70.569999999999993</v>
      </c>
    </row>
    <row r="80" spans="2: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C295A-9D44-4B28-A384-59B66619E2C5}">
  <sheetPr>
    <tabColor theme="5" tint="-0.249977111117893"/>
  </sheetPr>
  <dimension ref="A1:S401"/>
  <sheetViews>
    <sheetView workbookViewId="0">
      <selection activeCell="D12" sqref="D12"/>
    </sheetView>
  </sheetViews>
  <sheetFormatPr defaultRowHeight="14.4"/>
  <cols>
    <col min="1" max="1" width="10.6640625" bestFit="1" customWidth="1"/>
    <col min="2" max="2" width="7.77734375" bestFit="1" customWidth="1"/>
    <col min="8" max="8" width="9.6640625" bestFit="1" customWidth="1"/>
    <col min="9" max="9" width="10.33203125" bestFit="1" customWidth="1"/>
    <col min="10" max="10" width="6.77734375" bestFit="1" customWidth="1"/>
    <col min="11" max="11" width="13.109375" bestFit="1" customWidth="1"/>
    <col min="12" max="12" width="12.77734375" bestFit="1" customWidth="1"/>
    <col min="13" max="13" width="10.33203125" bestFit="1" customWidth="1"/>
    <col min="14" max="14" width="9.109375" bestFit="1" customWidth="1"/>
    <col min="15" max="15" width="11.33203125" bestFit="1" customWidth="1"/>
    <col min="16" max="16" width="8" bestFit="1" customWidth="1"/>
    <col min="17" max="17" width="8.33203125" bestFit="1" customWidth="1"/>
    <col min="18" max="18" width="7" bestFit="1" customWidth="1"/>
    <col min="19" max="19" width="8.33203125" bestFit="1" customWidth="1"/>
  </cols>
  <sheetData>
    <row r="1" spans="1:19">
      <c r="A1" s="33" t="s">
        <v>1276</v>
      </c>
      <c r="B1" s="33"/>
      <c r="C1" s="33"/>
      <c r="D1" s="33"/>
      <c r="H1" s="2" t="s">
        <v>0</v>
      </c>
      <c r="I1" s="2" t="s">
        <v>1</v>
      </c>
      <c r="J1" s="2" t="s">
        <v>2</v>
      </c>
      <c r="K1" s="2" t="s">
        <v>3</v>
      </c>
      <c r="L1" s="2" t="s">
        <v>4</v>
      </c>
      <c r="M1" s="2" t="s">
        <v>5</v>
      </c>
      <c r="N1" s="2" t="s">
        <v>6</v>
      </c>
      <c r="O1" s="2" t="s">
        <v>7</v>
      </c>
      <c r="P1" s="2" t="s">
        <v>8</v>
      </c>
      <c r="Q1" s="2" t="s">
        <v>9</v>
      </c>
      <c r="R1" s="2" t="s">
        <v>10</v>
      </c>
      <c r="S1" s="2" t="s">
        <v>11</v>
      </c>
    </row>
    <row r="2" spans="1:19">
      <c r="A2" s="17" t="s">
        <v>1284</v>
      </c>
      <c r="B2" s="17"/>
      <c r="E2" s="17"/>
      <c r="H2" s="3" t="s">
        <v>12</v>
      </c>
      <c r="I2" s="25">
        <v>45954</v>
      </c>
      <c r="J2" s="3" t="s">
        <v>13</v>
      </c>
      <c r="K2" s="3" t="s">
        <v>14</v>
      </c>
      <c r="L2" s="3" t="s">
        <v>15</v>
      </c>
      <c r="M2" s="3" t="s">
        <v>16</v>
      </c>
      <c r="N2" s="3" t="s">
        <v>17</v>
      </c>
      <c r="O2" s="3" t="s">
        <v>18</v>
      </c>
      <c r="P2" s="3">
        <v>971.62</v>
      </c>
      <c r="Q2" s="3">
        <v>5</v>
      </c>
      <c r="R2" s="3">
        <v>327.08999999999997</v>
      </c>
      <c r="S2" s="3">
        <v>0.1</v>
      </c>
    </row>
    <row r="3" spans="1:19">
      <c r="A3" s="17" t="s">
        <v>1288</v>
      </c>
      <c r="B3" s="17" t="s">
        <v>1289</v>
      </c>
      <c r="H3" s="3" t="s">
        <v>19</v>
      </c>
      <c r="I3" s="25">
        <v>45921</v>
      </c>
      <c r="J3" s="3" t="s">
        <v>20</v>
      </c>
      <c r="K3" s="3" t="s">
        <v>21</v>
      </c>
      <c r="L3" s="3" t="s">
        <v>15</v>
      </c>
      <c r="M3" s="3" t="s">
        <v>22</v>
      </c>
      <c r="N3" s="3" t="s">
        <v>23</v>
      </c>
      <c r="O3" s="3" t="s">
        <v>18</v>
      </c>
      <c r="P3" s="3">
        <v>182.55</v>
      </c>
      <c r="Q3" s="3">
        <v>8</v>
      </c>
      <c r="R3" s="3">
        <v>44.65</v>
      </c>
      <c r="S3" s="3">
        <v>0.08</v>
      </c>
    </row>
    <row r="4" spans="1:19">
      <c r="A4" s="24" t="s">
        <v>1285</v>
      </c>
      <c r="B4" s="24" t="s">
        <v>1286</v>
      </c>
      <c r="C4" s="24"/>
      <c r="H4" s="3" t="s">
        <v>24</v>
      </c>
      <c r="I4" s="25">
        <v>45675</v>
      </c>
      <c r="J4" s="3" t="s">
        <v>13</v>
      </c>
      <c r="K4" s="3" t="s">
        <v>14</v>
      </c>
      <c r="L4" s="3" t="s">
        <v>15</v>
      </c>
      <c r="M4" s="3" t="s">
        <v>25</v>
      </c>
      <c r="N4" s="3" t="s">
        <v>26</v>
      </c>
      <c r="O4" s="3" t="s">
        <v>18</v>
      </c>
      <c r="P4" s="3">
        <v>298.11</v>
      </c>
      <c r="Q4" s="3">
        <v>4</v>
      </c>
      <c r="R4" s="3">
        <v>109.47</v>
      </c>
      <c r="S4" s="3">
        <v>0.08</v>
      </c>
    </row>
    <row r="5" spans="1:19">
      <c r="A5" s="3">
        <v>15</v>
      </c>
      <c r="B5" s="3" t="str">
        <f>INDEX(H1:H401,15)</f>
        <v>ORD00015</v>
      </c>
      <c r="C5" s="3"/>
      <c r="H5" s="3" t="s">
        <v>27</v>
      </c>
      <c r="I5" s="25">
        <v>45658</v>
      </c>
      <c r="J5" s="3" t="s">
        <v>28</v>
      </c>
      <c r="K5" s="3" t="s">
        <v>14</v>
      </c>
      <c r="L5" s="3" t="s">
        <v>15</v>
      </c>
      <c r="M5" s="3" t="s">
        <v>29</v>
      </c>
      <c r="N5" s="3" t="s">
        <v>30</v>
      </c>
      <c r="O5" s="3" t="s">
        <v>18</v>
      </c>
      <c r="P5" s="3">
        <v>713.06</v>
      </c>
      <c r="Q5" s="3">
        <v>1</v>
      </c>
      <c r="R5" s="3">
        <v>186.05</v>
      </c>
      <c r="S5" s="3">
        <v>0.1</v>
      </c>
    </row>
    <row r="6" spans="1:19">
      <c r="H6" s="3" t="s">
        <v>31</v>
      </c>
      <c r="I6" s="25">
        <v>45722</v>
      </c>
      <c r="J6" s="3" t="s">
        <v>28</v>
      </c>
      <c r="K6" s="3" t="s">
        <v>32</v>
      </c>
      <c r="L6" s="3" t="s">
        <v>15</v>
      </c>
      <c r="M6" s="3" t="s">
        <v>33</v>
      </c>
      <c r="N6" s="3" t="s">
        <v>34</v>
      </c>
      <c r="O6" s="3" t="s">
        <v>35</v>
      </c>
      <c r="P6" s="3">
        <v>1037.92</v>
      </c>
      <c r="Q6" s="3">
        <v>2</v>
      </c>
      <c r="R6" s="3">
        <v>393.31</v>
      </c>
      <c r="S6" s="3">
        <v>0.06</v>
      </c>
    </row>
    <row r="7" spans="1:19">
      <c r="A7" s="17" t="s">
        <v>1282</v>
      </c>
      <c r="H7" s="3" t="s">
        <v>36</v>
      </c>
      <c r="I7" s="25">
        <v>45975</v>
      </c>
      <c r="J7" s="3" t="s">
        <v>28</v>
      </c>
      <c r="K7" s="3" t="s">
        <v>14</v>
      </c>
      <c r="L7" s="3" t="s">
        <v>15</v>
      </c>
      <c r="M7" s="3" t="s">
        <v>37</v>
      </c>
      <c r="N7" s="3" t="s">
        <v>38</v>
      </c>
      <c r="O7" s="3" t="s">
        <v>39</v>
      </c>
      <c r="P7" s="3">
        <v>652.03</v>
      </c>
      <c r="Q7" s="3">
        <v>5</v>
      </c>
      <c r="R7" s="3">
        <v>260.8</v>
      </c>
      <c r="S7" s="3">
        <v>0.17</v>
      </c>
    </row>
    <row r="8" spans="1:19">
      <c r="H8" s="3" t="s">
        <v>40</v>
      </c>
      <c r="I8" s="25">
        <v>45692</v>
      </c>
      <c r="J8" s="3" t="s">
        <v>41</v>
      </c>
      <c r="K8" s="3" t="s">
        <v>32</v>
      </c>
      <c r="L8" s="3" t="s">
        <v>15</v>
      </c>
      <c r="M8" s="3" t="s">
        <v>42</v>
      </c>
      <c r="N8" s="3" t="s">
        <v>43</v>
      </c>
      <c r="O8" s="3" t="s">
        <v>18</v>
      </c>
      <c r="P8" s="3">
        <v>1260.49</v>
      </c>
      <c r="Q8" s="3">
        <v>2</v>
      </c>
      <c r="R8" s="3">
        <v>365.39</v>
      </c>
      <c r="S8" s="3">
        <v>7.0000000000000007E-2</v>
      </c>
    </row>
    <row r="9" spans="1:19">
      <c r="A9" s="24" t="s">
        <v>1283</v>
      </c>
      <c r="B9" s="24" t="s">
        <v>1287</v>
      </c>
      <c r="H9" s="3" t="s">
        <v>44</v>
      </c>
      <c r="I9" s="25">
        <v>45708</v>
      </c>
      <c r="J9" s="3" t="s">
        <v>28</v>
      </c>
      <c r="K9" s="3" t="s">
        <v>14</v>
      </c>
      <c r="L9" s="3" t="s">
        <v>15</v>
      </c>
      <c r="M9" s="3" t="s">
        <v>45</v>
      </c>
      <c r="N9" s="3" t="s">
        <v>46</v>
      </c>
      <c r="O9" s="3" t="s">
        <v>35</v>
      </c>
      <c r="P9" s="3">
        <v>1173.22</v>
      </c>
      <c r="Q9" s="3">
        <v>8</v>
      </c>
      <c r="R9" s="3">
        <v>180.51</v>
      </c>
      <c r="S9" s="3">
        <v>0.21</v>
      </c>
    </row>
    <row r="10" spans="1:19">
      <c r="A10" s="31" t="s">
        <v>9</v>
      </c>
      <c r="B10" s="3">
        <f>MATCH(A10,H1:S1,0)</f>
        <v>10</v>
      </c>
      <c r="H10" s="3" t="s">
        <v>47</v>
      </c>
      <c r="I10" s="25">
        <v>46005</v>
      </c>
      <c r="J10" s="3" t="s">
        <v>41</v>
      </c>
      <c r="K10" s="3" t="s">
        <v>21</v>
      </c>
      <c r="L10" s="3" t="s">
        <v>15</v>
      </c>
      <c r="M10" s="3" t="s">
        <v>48</v>
      </c>
      <c r="N10" s="3" t="s">
        <v>49</v>
      </c>
      <c r="O10" s="3" t="s">
        <v>18</v>
      </c>
      <c r="P10" s="3">
        <v>312.23</v>
      </c>
      <c r="Q10" s="3">
        <v>9</v>
      </c>
      <c r="R10" s="3">
        <v>102.62</v>
      </c>
      <c r="S10" s="3">
        <v>0.17</v>
      </c>
    </row>
    <row r="11" spans="1:19">
      <c r="H11" s="3" t="s">
        <v>50</v>
      </c>
      <c r="I11" s="25">
        <v>45778</v>
      </c>
      <c r="J11" s="3" t="s">
        <v>28</v>
      </c>
      <c r="K11" s="3" t="s">
        <v>32</v>
      </c>
      <c r="L11" s="3" t="s">
        <v>15</v>
      </c>
      <c r="M11" s="3" t="s">
        <v>51</v>
      </c>
      <c r="N11" s="3" t="s">
        <v>52</v>
      </c>
      <c r="O11" s="3" t="s">
        <v>18</v>
      </c>
      <c r="P11" s="3">
        <v>1797.94</v>
      </c>
      <c r="Q11" s="3">
        <v>10</v>
      </c>
      <c r="R11" s="3">
        <v>632.53</v>
      </c>
      <c r="S11" s="3">
        <v>0.21</v>
      </c>
    </row>
    <row r="12" spans="1:19">
      <c r="H12" s="3" t="s">
        <v>53</v>
      </c>
      <c r="I12" s="25">
        <v>45976</v>
      </c>
      <c r="J12" s="3" t="s">
        <v>41</v>
      </c>
      <c r="K12" s="3" t="s">
        <v>14</v>
      </c>
      <c r="L12" s="3" t="s">
        <v>15</v>
      </c>
      <c r="M12" s="3" t="s">
        <v>54</v>
      </c>
      <c r="N12" s="3" t="s">
        <v>55</v>
      </c>
      <c r="O12" s="3" t="s">
        <v>35</v>
      </c>
      <c r="P12" s="3">
        <v>1781.4</v>
      </c>
      <c r="Q12" s="3">
        <v>1</v>
      </c>
      <c r="R12" s="3">
        <v>361.91</v>
      </c>
      <c r="S12" s="3">
        <v>0.18</v>
      </c>
    </row>
    <row r="13" spans="1:19">
      <c r="H13" s="3" t="s">
        <v>56</v>
      </c>
      <c r="I13" s="25">
        <v>45928</v>
      </c>
      <c r="J13" s="3" t="s">
        <v>20</v>
      </c>
      <c r="K13" s="3" t="s">
        <v>32</v>
      </c>
      <c r="L13" s="3" t="s">
        <v>15</v>
      </c>
      <c r="M13" s="3" t="s">
        <v>57</v>
      </c>
      <c r="N13" s="3" t="s">
        <v>58</v>
      </c>
      <c r="O13" s="3" t="s">
        <v>35</v>
      </c>
      <c r="P13" s="3">
        <v>1205.07</v>
      </c>
      <c r="Q13" s="3">
        <v>9</v>
      </c>
      <c r="R13" s="3">
        <v>367.14</v>
      </c>
      <c r="S13" s="3">
        <v>0.1</v>
      </c>
    </row>
    <row r="14" spans="1:19">
      <c r="H14" s="3" t="s">
        <v>59</v>
      </c>
      <c r="I14" s="25">
        <v>45927</v>
      </c>
      <c r="J14" s="3" t="s">
        <v>28</v>
      </c>
      <c r="K14" s="3" t="s">
        <v>14</v>
      </c>
      <c r="L14" s="3" t="s">
        <v>15</v>
      </c>
      <c r="M14" s="3" t="s">
        <v>60</v>
      </c>
      <c r="N14" s="3" t="s">
        <v>61</v>
      </c>
      <c r="O14" s="3" t="s">
        <v>35</v>
      </c>
      <c r="P14" s="3">
        <v>913.99</v>
      </c>
      <c r="Q14" s="3">
        <v>1</v>
      </c>
      <c r="R14" s="3">
        <v>324.67</v>
      </c>
      <c r="S14" s="3">
        <v>0.12</v>
      </c>
    </row>
    <row r="15" spans="1:19">
      <c r="H15" s="3" t="s">
        <v>62</v>
      </c>
      <c r="I15" s="25">
        <v>45834</v>
      </c>
      <c r="J15" s="3" t="s">
        <v>20</v>
      </c>
      <c r="K15" s="3" t="s">
        <v>32</v>
      </c>
      <c r="L15" s="3" t="s">
        <v>15</v>
      </c>
      <c r="M15" s="3" t="s">
        <v>63</v>
      </c>
      <c r="N15" s="3" t="s">
        <v>64</v>
      </c>
      <c r="O15" s="3" t="s">
        <v>35</v>
      </c>
      <c r="P15" s="3">
        <v>738.88</v>
      </c>
      <c r="Q15" s="3">
        <v>7</v>
      </c>
      <c r="R15" s="3">
        <v>95.17</v>
      </c>
      <c r="S15" s="3">
        <v>0.27</v>
      </c>
    </row>
    <row r="16" spans="1:19">
      <c r="H16" s="3" t="s">
        <v>65</v>
      </c>
      <c r="I16" s="25">
        <v>45986</v>
      </c>
      <c r="J16" s="3" t="s">
        <v>28</v>
      </c>
      <c r="K16" s="3" t="s">
        <v>21</v>
      </c>
      <c r="L16" s="3" t="s">
        <v>15</v>
      </c>
      <c r="M16" s="3" t="s">
        <v>66</v>
      </c>
      <c r="N16" s="3" t="s">
        <v>67</v>
      </c>
      <c r="O16" s="3" t="s">
        <v>18</v>
      </c>
      <c r="P16" s="3">
        <v>750.85</v>
      </c>
      <c r="Q16" s="3">
        <v>5</v>
      </c>
      <c r="R16" s="3">
        <v>281.77</v>
      </c>
      <c r="S16" s="3">
        <v>0.12</v>
      </c>
    </row>
    <row r="17" spans="8:19">
      <c r="H17" s="3" t="s">
        <v>68</v>
      </c>
      <c r="I17" s="25">
        <v>45884</v>
      </c>
      <c r="J17" s="3" t="s">
        <v>13</v>
      </c>
      <c r="K17" s="3" t="s">
        <v>21</v>
      </c>
      <c r="L17" s="3" t="s">
        <v>15</v>
      </c>
      <c r="M17" s="3" t="s">
        <v>69</v>
      </c>
      <c r="N17" s="3" t="s">
        <v>70</v>
      </c>
      <c r="O17" s="3" t="s">
        <v>35</v>
      </c>
      <c r="P17" s="3">
        <v>1196.5</v>
      </c>
      <c r="Q17" s="3">
        <v>2</v>
      </c>
      <c r="R17" s="3">
        <v>354.35</v>
      </c>
      <c r="S17" s="3">
        <v>0.25</v>
      </c>
    </row>
    <row r="18" spans="8:19">
      <c r="H18" s="3" t="s">
        <v>71</v>
      </c>
      <c r="I18" s="25">
        <v>45771</v>
      </c>
      <c r="J18" s="3" t="s">
        <v>28</v>
      </c>
      <c r="K18" s="3" t="s">
        <v>21</v>
      </c>
      <c r="L18" s="3" t="s">
        <v>15</v>
      </c>
      <c r="M18" s="3" t="s">
        <v>72</v>
      </c>
      <c r="N18" s="3" t="s">
        <v>73</v>
      </c>
      <c r="O18" s="3" t="s">
        <v>35</v>
      </c>
      <c r="P18" s="3">
        <v>1042.19</v>
      </c>
      <c r="Q18" s="3">
        <v>2</v>
      </c>
      <c r="R18" s="3">
        <v>138.52000000000001</v>
      </c>
      <c r="S18" s="3">
        <v>0.28000000000000003</v>
      </c>
    </row>
    <row r="19" spans="8:19">
      <c r="H19" s="3" t="s">
        <v>74</v>
      </c>
      <c r="I19" s="25">
        <v>45716</v>
      </c>
      <c r="J19" s="3" t="s">
        <v>41</v>
      </c>
      <c r="K19" s="3" t="s">
        <v>32</v>
      </c>
      <c r="L19" s="3" t="s">
        <v>15</v>
      </c>
      <c r="M19" s="3" t="s">
        <v>75</v>
      </c>
      <c r="N19" s="3" t="s">
        <v>76</v>
      </c>
      <c r="O19" s="3" t="s">
        <v>35</v>
      </c>
      <c r="P19" s="3">
        <v>686.09</v>
      </c>
      <c r="Q19" s="3">
        <v>6</v>
      </c>
      <c r="R19" s="3">
        <v>105.82</v>
      </c>
      <c r="S19" s="3">
        <v>0.13</v>
      </c>
    </row>
    <row r="20" spans="8:19">
      <c r="H20" s="3" t="s">
        <v>77</v>
      </c>
      <c r="I20" s="25">
        <v>45989</v>
      </c>
      <c r="J20" s="3" t="s">
        <v>28</v>
      </c>
      <c r="K20" s="3" t="s">
        <v>21</v>
      </c>
      <c r="L20" s="3" t="s">
        <v>15</v>
      </c>
      <c r="M20" s="3" t="s">
        <v>78</v>
      </c>
      <c r="N20" s="3" t="s">
        <v>79</v>
      </c>
      <c r="O20" s="3" t="s">
        <v>39</v>
      </c>
      <c r="P20" s="3">
        <v>1416.07</v>
      </c>
      <c r="Q20" s="3">
        <v>4</v>
      </c>
      <c r="R20" s="3">
        <v>225.85</v>
      </c>
      <c r="S20" s="3">
        <v>0.17</v>
      </c>
    </row>
    <row r="21" spans="8:19">
      <c r="H21" s="3" t="s">
        <v>80</v>
      </c>
      <c r="I21" s="25">
        <v>45928</v>
      </c>
      <c r="J21" s="3" t="s">
        <v>41</v>
      </c>
      <c r="K21" s="3" t="s">
        <v>14</v>
      </c>
      <c r="L21" s="3" t="s">
        <v>15</v>
      </c>
      <c r="M21" s="3" t="s">
        <v>81</v>
      </c>
      <c r="N21" s="3" t="s">
        <v>82</v>
      </c>
      <c r="O21" s="3" t="s">
        <v>35</v>
      </c>
      <c r="P21" s="3">
        <v>1144.18</v>
      </c>
      <c r="Q21" s="3">
        <v>5</v>
      </c>
      <c r="R21" s="3">
        <v>233.65</v>
      </c>
      <c r="S21" s="3">
        <v>0.11</v>
      </c>
    </row>
    <row r="22" spans="8:19">
      <c r="H22" s="3" t="s">
        <v>83</v>
      </c>
      <c r="I22" s="25">
        <v>45878</v>
      </c>
      <c r="J22" s="3" t="s">
        <v>41</v>
      </c>
      <c r="K22" s="3" t="s">
        <v>14</v>
      </c>
      <c r="L22" s="3" t="s">
        <v>15</v>
      </c>
      <c r="M22" s="3" t="s">
        <v>84</v>
      </c>
      <c r="N22" s="3" t="s">
        <v>85</v>
      </c>
      <c r="O22" s="3" t="s">
        <v>35</v>
      </c>
      <c r="P22" s="3">
        <v>252.73</v>
      </c>
      <c r="Q22" s="3">
        <v>5</v>
      </c>
      <c r="R22" s="3">
        <v>31.14</v>
      </c>
      <c r="S22" s="3">
        <v>0.27</v>
      </c>
    </row>
    <row r="23" spans="8:19">
      <c r="H23" s="3" t="s">
        <v>86</v>
      </c>
      <c r="I23" s="25">
        <v>45999</v>
      </c>
      <c r="J23" s="3" t="s">
        <v>28</v>
      </c>
      <c r="K23" s="3" t="s">
        <v>14</v>
      </c>
      <c r="L23" s="3" t="s">
        <v>15</v>
      </c>
      <c r="M23" s="3" t="s">
        <v>87</v>
      </c>
      <c r="N23" s="3" t="s">
        <v>88</v>
      </c>
      <c r="O23" s="3" t="s">
        <v>39</v>
      </c>
      <c r="P23" s="3">
        <v>1467.17</v>
      </c>
      <c r="Q23" s="3">
        <v>10</v>
      </c>
      <c r="R23" s="3">
        <v>157.78</v>
      </c>
      <c r="S23" s="3">
        <v>0.2</v>
      </c>
    </row>
    <row r="24" spans="8:19">
      <c r="H24" s="3" t="s">
        <v>89</v>
      </c>
      <c r="I24" s="25">
        <v>45658</v>
      </c>
      <c r="J24" s="3" t="s">
        <v>20</v>
      </c>
      <c r="K24" s="3" t="s">
        <v>32</v>
      </c>
      <c r="L24" s="3" t="s">
        <v>15</v>
      </c>
      <c r="M24" s="3" t="s">
        <v>90</v>
      </c>
      <c r="N24" s="3" t="s">
        <v>91</v>
      </c>
      <c r="O24" s="3" t="s">
        <v>39</v>
      </c>
      <c r="P24" s="3">
        <v>939.48</v>
      </c>
      <c r="Q24" s="3">
        <v>2</v>
      </c>
      <c r="R24" s="3">
        <v>166.13</v>
      </c>
      <c r="S24" s="3">
        <v>0.04</v>
      </c>
    </row>
    <row r="25" spans="8:19">
      <c r="H25" s="3" t="s">
        <v>92</v>
      </c>
      <c r="I25" s="25">
        <v>45851</v>
      </c>
      <c r="J25" s="3" t="s">
        <v>20</v>
      </c>
      <c r="K25" s="3" t="s">
        <v>32</v>
      </c>
      <c r="L25" s="3" t="s">
        <v>15</v>
      </c>
      <c r="M25" s="3" t="s">
        <v>93</v>
      </c>
      <c r="N25" s="3" t="s">
        <v>94</v>
      </c>
      <c r="O25" s="3" t="s">
        <v>35</v>
      </c>
      <c r="P25" s="3">
        <v>1696.84</v>
      </c>
      <c r="Q25" s="3">
        <v>4</v>
      </c>
      <c r="R25" s="3">
        <v>348.3</v>
      </c>
      <c r="S25" s="3">
        <v>0.23</v>
      </c>
    </row>
    <row r="26" spans="8:19">
      <c r="H26" s="3" t="s">
        <v>95</v>
      </c>
      <c r="I26" s="25">
        <v>45721</v>
      </c>
      <c r="J26" s="3" t="s">
        <v>20</v>
      </c>
      <c r="K26" s="3" t="s">
        <v>21</v>
      </c>
      <c r="L26" s="3" t="s">
        <v>15</v>
      </c>
      <c r="M26" s="3" t="s">
        <v>96</v>
      </c>
      <c r="N26" s="3" t="s">
        <v>97</v>
      </c>
      <c r="O26" s="3" t="s">
        <v>18</v>
      </c>
      <c r="P26" s="3">
        <v>788.51</v>
      </c>
      <c r="Q26" s="3">
        <v>8</v>
      </c>
      <c r="R26" s="3">
        <v>292.33</v>
      </c>
      <c r="S26" s="3">
        <v>0.03</v>
      </c>
    </row>
    <row r="27" spans="8:19">
      <c r="H27" s="3" t="s">
        <v>98</v>
      </c>
      <c r="I27" s="25">
        <v>45676</v>
      </c>
      <c r="J27" s="3" t="s">
        <v>13</v>
      </c>
      <c r="K27" s="3" t="s">
        <v>21</v>
      </c>
      <c r="L27" s="3" t="s">
        <v>15</v>
      </c>
      <c r="M27" s="3" t="s">
        <v>99</v>
      </c>
      <c r="N27" s="3" t="s">
        <v>100</v>
      </c>
      <c r="O27" s="3" t="s">
        <v>18</v>
      </c>
      <c r="P27" s="3">
        <v>1419.02</v>
      </c>
      <c r="Q27" s="3">
        <v>4</v>
      </c>
      <c r="R27" s="3">
        <v>500.65</v>
      </c>
      <c r="S27" s="3">
        <v>0.04</v>
      </c>
    </row>
    <row r="28" spans="8:19">
      <c r="H28" s="3" t="s">
        <v>101</v>
      </c>
      <c r="I28" s="25">
        <v>45979</v>
      </c>
      <c r="J28" s="3" t="s">
        <v>28</v>
      </c>
      <c r="K28" s="3" t="s">
        <v>14</v>
      </c>
      <c r="L28" s="3" t="s">
        <v>15</v>
      </c>
      <c r="M28" s="3" t="s">
        <v>102</v>
      </c>
      <c r="N28" s="3" t="s">
        <v>103</v>
      </c>
      <c r="O28" s="3" t="s">
        <v>18</v>
      </c>
      <c r="P28" s="3">
        <v>159.15</v>
      </c>
      <c r="Q28" s="3">
        <v>6</v>
      </c>
      <c r="R28" s="3">
        <v>35.229999999999997</v>
      </c>
      <c r="S28" s="3">
        <v>0.18</v>
      </c>
    </row>
    <row r="29" spans="8:19">
      <c r="H29" s="3" t="s">
        <v>104</v>
      </c>
      <c r="I29" s="25">
        <v>45949</v>
      </c>
      <c r="J29" s="3" t="s">
        <v>20</v>
      </c>
      <c r="K29" s="3" t="s">
        <v>14</v>
      </c>
      <c r="L29" s="3" t="s">
        <v>15</v>
      </c>
      <c r="M29" s="3" t="s">
        <v>105</v>
      </c>
      <c r="N29" s="3" t="s">
        <v>106</v>
      </c>
      <c r="O29" s="3" t="s">
        <v>35</v>
      </c>
      <c r="P29" s="3">
        <v>1300.57</v>
      </c>
      <c r="Q29" s="3">
        <v>3</v>
      </c>
      <c r="R29" s="3">
        <v>416.02</v>
      </c>
      <c r="S29" s="3">
        <v>0.11</v>
      </c>
    </row>
    <row r="30" spans="8:19">
      <c r="H30" s="3" t="s">
        <v>107</v>
      </c>
      <c r="I30" s="25">
        <v>46015</v>
      </c>
      <c r="J30" s="3" t="s">
        <v>28</v>
      </c>
      <c r="K30" s="3" t="s">
        <v>32</v>
      </c>
      <c r="L30" s="3" t="s">
        <v>15</v>
      </c>
      <c r="M30" s="3" t="s">
        <v>108</v>
      </c>
      <c r="N30" s="3" t="s">
        <v>109</v>
      </c>
      <c r="O30" s="3" t="s">
        <v>39</v>
      </c>
      <c r="P30" s="3">
        <v>491.92</v>
      </c>
      <c r="Q30" s="3">
        <v>2</v>
      </c>
      <c r="R30" s="3">
        <v>79.930000000000007</v>
      </c>
      <c r="S30" s="3">
        <v>0.25</v>
      </c>
    </row>
    <row r="31" spans="8:19">
      <c r="H31" s="3" t="s">
        <v>110</v>
      </c>
      <c r="I31" s="25">
        <v>45698</v>
      </c>
      <c r="J31" s="3" t="s">
        <v>28</v>
      </c>
      <c r="K31" s="3" t="s">
        <v>14</v>
      </c>
      <c r="L31" s="3" t="s">
        <v>15</v>
      </c>
      <c r="M31" s="3" t="s">
        <v>111</v>
      </c>
      <c r="N31" s="3" t="s">
        <v>112</v>
      </c>
      <c r="O31" s="3" t="s">
        <v>18</v>
      </c>
      <c r="P31" s="3">
        <v>1838.26</v>
      </c>
      <c r="Q31" s="3">
        <v>9</v>
      </c>
      <c r="R31" s="3">
        <v>96.41</v>
      </c>
      <c r="S31" s="3">
        <v>0.18</v>
      </c>
    </row>
    <row r="32" spans="8:19">
      <c r="H32" s="3" t="s">
        <v>113</v>
      </c>
      <c r="I32" s="25">
        <v>45858</v>
      </c>
      <c r="J32" s="3" t="s">
        <v>28</v>
      </c>
      <c r="K32" s="3" t="s">
        <v>32</v>
      </c>
      <c r="L32" s="3" t="s">
        <v>15</v>
      </c>
      <c r="M32" s="3" t="s">
        <v>114</v>
      </c>
      <c r="N32" s="3" t="s">
        <v>115</v>
      </c>
      <c r="O32" s="3" t="s">
        <v>35</v>
      </c>
      <c r="P32" s="3">
        <v>194.86</v>
      </c>
      <c r="Q32" s="3">
        <v>5</v>
      </c>
      <c r="R32" s="3">
        <v>69.540000000000006</v>
      </c>
      <c r="S32" s="3">
        <v>0.08</v>
      </c>
    </row>
    <row r="33" spans="8:19">
      <c r="H33" s="3" t="s">
        <v>116</v>
      </c>
      <c r="I33" s="25">
        <v>45792</v>
      </c>
      <c r="J33" s="3" t="s">
        <v>13</v>
      </c>
      <c r="K33" s="3" t="s">
        <v>32</v>
      </c>
      <c r="L33" s="3" t="s">
        <v>15</v>
      </c>
      <c r="M33" s="3" t="s">
        <v>117</v>
      </c>
      <c r="N33" s="3" t="s">
        <v>118</v>
      </c>
      <c r="O33" s="3" t="s">
        <v>35</v>
      </c>
      <c r="P33" s="3">
        <v>1241.1300000000001</v>
      </c>
      <c r="Q33" s="3">
        <v>2</v>
      </c>
      <c r="R33" s="3">
        <v>151.79</v>
      </c>
      <c r="S33" s="3">
        <v>0.28000000000000003</v>
      </c>
    </row>
    <row r="34" spans="8:19">
      <c r="H34" s="3" t="s">
        <v>119</v>
      </c>
      <c r="I34" s="25">
        <v>45719</v>
      </c>
      <c r="J34" s="3" t="s">
        <v>13</v>
      </c>
      <c r="K34" s="3" t="s">
        <v>14</v>
      </c>
      <c r="L34" s="3" t="s">
        <v>15</v>
      </c>
      <c r="M34" s="3" t="s">
        <v>120</v>
      </c>
      <c r="N34" s="3" t="s">
        <v>121</v>
      </c>
      <c r="O34" s="3" t="s">
        <v>18</v>
      </c>
      <c r="P34" s="3">
        <v>1769.91</v>
      </c>
      <c r="Q34" s="3">
        <v>10</v>
      </c>
      <c r="R34" s="3">
        <v>403.97</v>
      </c>
      <c r="S34" s="3">
        <v>0.01</v>
      </c>
    </row>
    <row r="35" spans="8:19">
      <c r="H35" s="3" t="s">
        <v>122</v>
      </c>
      <c r="I35" s="25">
        <v>45881</v>
      </c>
      <c r="J35" s="3" t="s">
        <v>20</v>
      </c>
      <c r="K35" s="3" t="s">
        <v>14</v>
      </c>
      <c r="L35" s="3" t="s">
        <v>15</v>
      </c>
      <c r="M35" s="3" t="s">
        <v>123</v>
      </c>
      <c r="N35" s="3" t="s">
        <v>124</v>
      </c>
      <c r="O35" s="3" t="s">
        <v>35</v>
      </c>
      <c r="P35" s="3">
        <v>1881.77</v>
      </c>
      <c r="Q35" s="3">
        <v>3</v>
      </c>
      <c r="R35" s="3">
        <v>605.04999999999995</v>
      </c>
      <c r="S35" s="3">
        <v>0.25</v>
      </c>
    </row>
    <row r="36" spans="8:19">
      <c r="H36" s="3" t="s">
        <v>125</v>
      </c>
      <c r="I36" s="25">
        <v>45849</v>
      </c>
      <c r="J36" s="3" t="s">
        <v>28</v>
      </c>
      <c r="K36" s="3" t="s">
        <v>21</v>
      </c>
      <c r="L36" s="3" t="s">
        <v>15</v>
      </c>
      <c r="M36" s="3" t="s">
        <v>126</v>
      </c>
      <c r="N36" s="3" t="s">
        <v>127</v>
      </c>
      <c r="O36" s="3" t="s">
        <v>18</v>
      </c>
      <c r="P36" s="3">
        <v>1486.02</v>
      </c>
      <c r="Q36" s="3">
        <v>4</v>
      </c>
      <c r="R36" s="3">
        <v>470.08</v>
      </c>
      <c r="S36" s="3">
        <v>0.28000000000000003</v>
      </c>
    </row>
    <row r="37" spans="8:19">
      <c r="H37" s="3" t="s">
        <v>128</v>
      </c>
      <c r="I37" s="25">
        <v>45951</v>
      </c>
      <c r="J37" s="3" t="s">
        <v>41</v>
      </c>
      <c r="K37" s="3" t="s">
        <v>14</v>
      </c>
      <c r="L37" s="3" t="s">
        <v>15</v>
      </c>
      <c r="M37" s="3" t="s">
        <v>129</v>
      </c>
      <c r="N37" s="3" t="s">
        <v>130</v>
      </c>
      <c r="O37" s="3" t="s">
        <v>39</v>
      </c>
      <c r="P37" s="3">
        <v>192.67</v>
      </c>
      <c r="Q37" s="3">
        <v>8</v>
      </c>
      <c r="R37" s="3">
        <v>35.729999999999997</v>
      </c>
      <c r="S37" s="3">
        <v>0.25</v>
      </c>
    </row>
    <row r="38" spans="8:19">
      <c r="H38" s="3" t="s">
        <v>131</v>
      </c>
      <c r="I38" s="25">
        <v>45941</v>
      </c>
      <c r="J38" s="3" t="s">
        <v>41</v>
      </c>
      <c r="K38" s="3" t="s">
        <v>14</v>
      </c>
      <c r="L38" s="3" t="s">
        <v>15</v>
      </c>
      <c r="M38" s="3" t="s">
        <v>132</v>
      </c>
      <c r="N38" s="3" t="s">
        <v>133</v>
      </c>
      <c r="O38" s="3" t="s">
        <v>18</v>
      </c>
      <c r="P38" s="3">
        <v>134.30000000000001</v>
      </c>
      <c r="Q38" s="3">
        <v>7</v>
      </c>
      <c r="R38" s="3">
        <v>30.2</v>
      </c>
      <c r="S38" s="3">
        <v>0.14000000000000001</v>
      </c>
    </row>
    <row r="39" spans="8:19">
      <c r="H39" s="3" t="s">
        <v>134</v>
      </c>
      <c r="I39" s="25">
        <v>45684</v>
      </c>
      <c r="J39" s="3" t="s">
        <v>20</v>
      </c>
      <c r="K39" s="3" t="s">
        <v>32</v>
      </c>
      <c r="L39" s="3" t="s">
        <v>15</v>
      </c>
      <c r="M39" s="3" t="s">
        <v>135</v>
      </c>
      <c r="N39" s="3" t="s">
        <v>136</v>
      </c>
      <c r="O39" s="3" t="s">
        <v>35</v>
      </c>
      <c r="P39" s="3">
        <v>1758.53</v>
      </c>
      <c r="Q39" s="3">
        <v>10</v>
      </c>
      <c r="R39" s="3">
        <v>422.09</v>
      </c>
      <c r="S39" s="3">
        <v>0.24</v>
      </c>
    </row>
    <row r="40" spans="8:19">
      <c r="H40" s="3" t="s">
        <v>137</v>
      </c>
      <c r="I40" s="25">
        <v>46013</v>
      </c>
      <c r="J40" s="3" t="s">
        <v>20</v>
      </c>
      <c r="K40" s="3" t="s">
        <v>14</v>
      </c>
      <c r="L40" s="3" t="s">
        <v>15</v>
      </c>
      <c r="M40" s="3" t="s">
        <v>138</v>
      </c>
      <c r="N40" s="3" t="s">
        <v>139</v>
      </c>
      <c r="O40" s="3" t="s">
        <v>35</v>
      </c>
      <c r="P40" s="3">
        <v>940.78</v>
      </c>
      <c r="Q40" s="3">
        <v>5</v>
      </c>
      <c r="R40" s="3">
        <v>336.8</v>
      </c>
      <c r="S40" s="3">
        <v>0.12</v>
      </c>
    </row>
    <row r="41" spans="8:19">
      <c r="H41" s="3" t="s">
        <v>140</v>
      </c>
      <c r="I41" s="25">
        <v>45979</v>
      </c>
      <c r="J41" s="3" t="s">
        <v>28</v>
      </c>
      <c r="K41" s="3" t="s">
        <v>32</v>
      </c>
      <c r="L41" s="3" t="s">
        <v>15</v>
      </c>
      <c r="M41" s="3" t="s">
        <v>141</v>
      </c>
      <c r="N41" s="3" t="s">
        <v>142</v>
      </c>
      <c r="O41" s="3" t="s">
        <v>18</v>
      </c>
      <c r="P41" s="3">
        <v>1117.02</v>
      </c>
      <c r="Q41" s="3">
        <v>4</v>
      </c>
      <c r="R41" s="3">
        <v>167.64</v>
      </c>
      <c r="S41" s="3">
        <v>0.15</v>
      </c>
    </row>
    <row r="42" spans="8:19">
      <c r="H42" s="3" t="s">
        <v>143</v>
      </c>
      <c r="I42" s="25">
        <v>45876</v>
      </c>
      <c r="J42" s="3" t="s">
        <v>13</v>
      </c>
      <c r="K42" s="3" t="s">
        <v>14</v>
      </c>
      <c r="L42" s="3" t="s">
        <v>15</v>
      </c>
      <c r="M42" s="3" t="s">
        <v>144</v>
      </c>
      <c r="N42" s="3" t="s">
        <v>145</v>
      </c>
      <c r="O42" s="3" t="s">
        <v>35</v>
      </c>
      <c r="P42" s="3">
        <v>1329.2</v>
      </c>
      <c r="Q42" s="3">
        <v>8</v>
      </c>
      <c r="R42" s="3">
        <v>308.12</v>
      </c>
      <c r="S42" s="3">
        <v>0.17</v>
      </c>
    </row>
    <row r="43" spans="8:19">
      <c r="H43" s="3" t="s">
        <v>146</v>
      </c>
      <c r="I43" s="25">
        <v>45923</v>
      </c>
      <c r="J43" s="3" t="s">
        <v>13</v>
      </c>
      <c r="K43" s="3" t="s">
        <v>21</v>
      </c>
      <c r="L43" s="3" t="s">
        <v>15</v>
      </c>
      <c r="M43" s="3" t="s">
        <v>147</v>
      </c>
      <c r="N43" s="3" t="s">
        <v>148</v>
      </c>
      <c r="O43" s="3" t="s">
        <v>18</v>
      </c>
      <c r="P43" s="3">
        <v>527.5</v>
      </c>
      <c r="Q43" s="3">
        <v>7</v>
      </c>
      <c r="R43" s="3">
        <v>192.06</v>
      </c>
      <c r="S43" s="3">
        <v>0.02</v>
      </c>
    </row>
    <row r="44" spans="8:19">
      <c r="H44" s="3" t="s">
        <v>149</v>
      </c>
      <c r="I44" s="25">
        <v>45691</v>
      </c>
      <c r="J44" s="3" t="s">
        <v>20</v>
      </c>
      <c r="K44" s="3" t="s">
        <v>14</v>
      </c>
      <c r="L44" s="3" t="s">
        <v>15</v>
      </c>
      <c r="M44" s="3" t="s">
        <v>150</v>
      </c>
      <c r="N44" s="3" t="s">
        <v>151</v>
      </c>
      <c r="O44" s="3" t="s">
        <v>18</v>
      </c>
      <c r="P44" s="3">
        <v>728.73</v>
      </c>
      <c r="Q44" s="3">
        <v>8</v>
      </c>
      <c r="R44" s="3">
        <v>158.99</v>
      </c>
      <c r="S44" s="3">
        <v>0.01</v>
      </c>
    </row>
    <row r="45" spans="8:19">
      <c r="H45" s="3" t="s">
        <v>152</v>
      </c>
      <c r="I45" s="25">
        <v>45947</v>
      </c>
      <c r="J45" s="3" t="s">
        <v>20</v>
      </c>
      <c r="K45" s="3" t="s">
        <v>21</v>
      </c>
      <c r="L45" s="3" t="s">
        <v>15</v>
      </c>
      <c r="M45" s="3" t="s">
        <v>153</v>
      </c>
      <c r="N45" s="3" t="s">
        <v>154</v>
      </c>
      <c r="O45" s="3" t="s">
        <v>35</v>
      </c>
      <c r="P45" s="3">
        <v>1948.51</v>
      </c>
      <c r="Q45" s="3">
        <v>9</v>
      </c>
      <c r="R45" s="3">
        <v>186.79</v>
      </c>
      <c r="S45" s="3">
        <v>0.24</v>
      </c>
    </row>
    <row r="46" spans="8:19">
      <c r="H46" s="3" t="s">
        <v>155</v>
      </c>
      <c r="I46" s="25">
        <v>45717</v>
      </c>
      <c r="J46" s="3" t="s">
        <v>28</v>
      </c>
      <c r="K46" s="3" t="s">
        <v>14</v>
      </c>
      <c r="L46" s="3" t="s">
        <v>15</v>
      </c>
      <c r="M46" s="3" t="s">
        <v>156</v>
      </c>
      <c r="N46" s="3" t="s">
        <v>157</v>
      </c>
      <c r="O46" s="3" t="s">
        <v>35</v>
      </c>
      <c r="P46" s="3">
        <v>1648.64</v>
      </c>
      <c r="Q46" s="3">
        <v>3</v>
      </c>
      <c r="R46" s="3">
        <v>450.65</v>
      </c>
      <c r="S46" s="3">
        <v>0.2</v>
      </c>
    </row>
    <row r="47" spans="8:19">
      <c r="H47" s="3" t="s">
        <v>158</v>
      </c>
      <c r="I47" s="25">
        <v>45677</v>
      </c>
      <c r="J47" s="3" t="s">
        <v>41</v>
      </c>
      <c r="K47" s="3" t="s">
        <v>32</v>
      </c>
      <c r="L47" s="3" t="s">
        <v>15</v>
      </c>
      <c r="M47" s="3" t="s">
        <v>159</v>
      </c>
      <c r="N47" s="3" t="s">
        <v>160</v>
      </c>
      <c r="O47" s="3" t="s">
        <v>35</v>
      </c>
      <c r="P47" s="3">
        <v>181.6</v>
      </c>
      <c r="Q47" s="3">
        <v>5</v>
      </c>
      <c r="R47" s="3">
        <v>50.35</v>
      </c>
      <c r="S47" s="3">
        <v>0.05</v>
      </c>
    </row>
    <row r="48" spans="8:19">
      <c r="H48" s="3" t="s">
        <v>161</v>
      </c>
      <c r="I48" s="25">
        <v>45769</v>
      </c>
      <c r="J48" s="3" t="s">
        <v>13</v>
      </c>
      <c r="K48" s="3" t="s">
        <v>21</v>
      </c>
      <c r="L48" s="3" t="s">
        <v>15</v>
      </c>
      <c r="M48" s="3" t="s">
        <v>162</v>
      </c>
      <c r="N48" s="3" t="s">
        <v>163</v>
      </c>
      <c r="O48" s="3" t="s">
        <v>39</v>
      </c>
      <c r="P48" s="3">
        <v>1740.41</v>
      </c>
      <c r="Q48" s="3">
        <v>10</v>
      </c>
      <c r="R48" s="3">
        <v>565.72</v>
      </c>
      <c r="S48" s="3">
        <v>0.2</v>
      </c>
    </row>
    <row r="49" spans="8:19">
      <c r="H49" s="3" t="s">
        <v>164</v>
      </c>
      <c r="I49" s="25">
        <v>45709</v>
      </c>
      <c r="J49" s="3" t="s">
        <v>13</v>
      </c>
      <c r="K49" s="3" t="s">
        <v>32</v>
      </c>
      <c r="L49" s="3" t="s">
        <v>15</v>
      </c>
      <c r="M49" s="3" t="s">
        <v>165</v>
      </c>
      <c r="N49" s="3" t="s">
        <v>166</v>
      </c>
      <c r="O49" s="3" t="s">
        <v>35</v>
      </c>
      <c r="P49" s="3">
        <v>1011.74</v>
      </c>
      <c r="Q49" s="3">
        <v>8</v>
      </c>
      <c r="R49" s="3">
        <v>58.48</v>
      </c>
      <c r="S49" s="3">
        <v>0</v>
      </c>
    </row>
    <row r="50" spans="8:19">
      <c r="H50" s="3" t="s">
        <v>167</v>
      </c>
      <c r="I50" s="25">
        <v>45718</v>
      </c>
      <c r="J50" s="3" t="s">
        <v>20</v>
      </c>
      <c r="K50" s="3" t="s">
        <v>21</v>
      </c>
      <c r="L50" s="3" t="s">
        <v>15</v>
      </c>
      <c r="M50" s="3" t="s">
        <v>168</v>
      </c>
      <c r="N50" s="3" t="s">
        <v>169</v>
      </c>
      <c r="O50" s="3" t="s">
        <v>35</v>
      </c>
      <c r="P50" s="3">
        <v>1568.93</v>
      </c>
      <c r="Q50" s="3">
        <v>7</v>
      </c>
      <c r="R50" s="3">
        <v>460.99</v>
      </c>
      <c r="S50" s="3">
        <v>0.12</v>
      </c>
    </row>
    <row r="51" spans="8:19">
      <c r="H51" s="3" t="s">
        <v>170</v>
      </c>
      <c r="I51" s="25">
        <v>45733</v>
      </c>
      <c r="J51" s="3" t="s">
        <v>28</v>
      </c>
      <c r="K51" s="3" t="s">
        <v>21</v>
      </c>
      <c r="L51" s="3" t="s">
        <v>15</v>
      </c>
      <c r="M51" s="3" t="s">
        <v>171</v>
      </c>
      <c r="N51" s="3" t="s">
        <v>172</v>
      </c>
      <c r="O51" s="3" t="s">
        <v>39</v>
      </c>
      <c r="P51" s="3">
        <v>683.02</v>
      </c>
      <c r="Q51" s="3">
        <v>4</v>
      </c>
      <c r="R51" s="3">
        <v>44.56</v>
      </c>
      <c r="S51" s="3">
        <v>0.17</v>
      </c>
    </row>
    <row r="52" spans="8:19">
      <c r="H52" s="3" t="s">
        <v>173</v>
      </c>
      <c r="I52" s="25">
        <v>45734</v>
      </c>
      <c r="J52" s="3" t="s">
        <v>13</v>
      </c>
      <c r="K52" s="3" t="s">
        <v>21</v>
      </c>
      <c r="L52" s="3" t="s">
        <v>15</v>
      </c>
      <c r="M52" s="3" t="s">
        <v>174</v>
      </c>
      <c r="N52" s="3" t="s">
        <v>175</v>
      </c>
      <c r="O52" s="3" t="s">
        <v>18</v>
      </c>
      <c r="P52" s="3">
        <v>1496.75</v>
      </c>
      <c r="Q52" s="3">
        <v>1</v>
      </c>
      <c r="R52" s="3">
        <v>144.83000000000001</v>
      </c>
      <c r="S52" s="3">
        <v>0.13</v>
      </c>
    </row>
    <row r="53" spans="8:19">
      <c r="H53" s="3" t="s">
        <v>176</v>
      </c>
      <c r="I53" s="25">
        <v>45795</v>
      </c>
      <c r="J53" s="3" t="s">
        <v>13</v>
      </c>
      <c r="K53" s="3" t="s">
        <v>14</v>
      </c>
      <c r="L53" s="3" t="s">
        <v>15</v>
      </c>
      <c r="M53" s="3" t="s">
        <v>177</v>
      </c>
      <c r="N53" s="3" t="s">
        <v>178</v>
      </c>
      <c r="O53" s="3" t="s">
        <v>35</v>
      </c>
      <c r="P53" s="3">
        <v>424.82</v>
      </c>
      <c r="Q53" s="3">
        <v>9</v>
      </c>
      <c r="R53" s="3">
        <v>162.72</v>
      </c>
      <c r="S53" s="3">
        <v>0.27</v>
      </c>
    </row>
    <row r="54" spans="8:19">
      <c r="H54" s="3" t="s">
        <v>179</v>
      </c>
      <c r="I54" s="25">
        <v>45726</v>
      </c>
      <c r="J54" s="3" t="s">
        <v>20</v>
      </c>
      <c r="K54" s="3" t="s">
        <v>14</v>
      </c>
      <c r="L54" s="3" t="s">
        <v>15</v>
      </c>
      <c r="M54" s="3" t="s">
        <v>180</v>
      </c>
      <c r="N54" s="3" t="s">
        <v>181</v>
      </c>
      <c r="O54" s="3" t="s">
        <v>18</v>
      </c>
      <c r="P54" s="3">
        <v>1994.98</v>
      </c>
      <c r="Q54" s="3">
        <v>7</v>
      </c>
      <c r="R54" s="3">
        <v>361.57</v>
      </c>
      <c r="S54" s="3">
        <v>0.06</v>
      </c>
    </row>
    <row r="55" spans="8:19">
      <c r="H55" s="3" t="s">
        <v>182</v>
      </c>
      <c r="I55" s="25">
        <v>45933</v>
      </c>
      <c r="J55" s="3" t="s">
        <v>20</v>
      </c>
      <c r="K55" s="3" t="s">
        <v>32</v>
      </c>
      <c r="L55" s="3" t="s">
        <v>15</v>
      </c>
      <c r="M55" s="3" t="s">
        <v>183</v>
      </c>
      <c r="N55" s="3" t="s">
        <v>184</v>
      </c>
      <c r="O55" s="3" t="s">
        <v>39</v>
      </c>
      <c r="P55" s="3">
        <v>1970.76</v>
      </c>
      <c r="Q55" s="3">
        <v>9</v>
      </c>
      <c r="R55" s="3">
        <v>683.91</v>
      </c>
      <c r="S55" s="3">
        <v>0.02</v>
      </c>
    </row>
    <row r="56" spans="8:19">
      <c r="H56" s="3" t="s">
        <v>185</v>
      </c>
      <c r="I56" s="25">
        <v>45994</v>
      </c>
      <c r="J56" s="3" t="s">
        <v>28</v>
      </c>
      <c r="K56" s="3" t="s">
        <v>14</v>
      </c>
      <c r="L56" s="3" t="s">
        <v>15</v>
      </c>
      <c r="M56" s="3" t="s">
        <v>186</v>
      </c>
      <c r="N56" s="3" t="s">
        <v>187</v>
      </c>
      <c r="O56" s="3" t="s">
        <v>39</v>
      </c>
      <c r="P56" s="3">
        <v>896.36</v>
      </c>
      <c r="Q56" s="3">
        <v>6</v>
      </c>
      <c r="R56" s="3">
        <v>181.66</v>
      </c>
      <c r="S56" s="3">
        <v>0.16</v>
      </c>
    </row>
    <row r="57" spans="8:19">
      <c r="H57" s="3" t="s">
        <v>188</v>
      </c>
      <c r="I57" s="25">
        <v>45735</v>
      </c>
      <c r="J57" s="3" t="s">
        <v>41</v>
      </c>
      <c r="K57" s="3" t="s">
        <v>14</v>
      </c>
      <c r="L57" s="3" t="s">
        <v>15</v>
      </c>
      <c r="M57" s="3" t="s">
        <v>189</v>
      </c>
      <c r="N57" s="3" t="s">
        <v>190</v>
      </c>
      <c r="O57" s="3" t="s">
        <v>35</v>
      </c>
      <c r="P57" s="3">
        <v>413.36</v>
      </c>
      <c r="Q57" s="3">
        <v>5</v>
      </c>
      <c r="R57" s="3">
        <v>128.26</v>
      </c>
      <c r="S57" s="3">
        <v>0.02</v>
      </c>
    </row>
    <row r="58" spans="8:19">
      <c r="H58" s="3" t="s">
        <v>191</v>
      </c>
      <c r="I58" s="25">
        <v>45938</v>
      </c>
      <c r="J58" s="3" t="s">
        <v>28</v>
      </c>
      <c r="K58" s="3" t="s">
        <v>21</v>
      </c>
      <c r="L58" s="3" t="s">
        <v>15</v>
      </c>
      <c r="M58" s="3" t="s">
        <v>192</v>
      </c>
      <c r="N58" s="3" t="s">
        <v>193</v>
      </c>
      <c r="O58" s="3" t="s">
        <v>18</v>
      </c>
      <c r="P58" s="3">
        <v>1819.14</v>
      </c>
      <c r="Q58" s="3">
        <v>3</v>
      </c>
      <c r="R58" s="3">
        <v>717.51</v>
      </c>
      <c r="S58" s="3">
        <v>7.0000000000000007E-2</v>
      </c>
    </row>
    <row r="59" spans="8:19">
      <c r="H59" s="3" t="s">
        <v>194</v>
      </c>
      <c r="I59" s="25">
        <v>45698</v>
      </c>
      <c r="J59" s="3" t="s">
        <v>41</v>
      </c>
      <c r="K59" s="3" t="s">
        <v>14</v>
      </c>
      <c r="L59" s="3" t="s">
        <v>15</v>
      </c>
      <c r="M59" s="3" t="s">
        <v>195</v>
      </c>
      <c r="N59" s="3" t="s">
        <v>196</v>
      </c>
      <c r="O59" s="3" t="s">
        <v>18</v>
      </c>
      <c r="P59" s="3">
        <v>188.39</v>
      </c>
      <c r="Q59" s="3">
        <v>6</v>
      </c>
      <c r="R59" s="3">
        <v>23.26</v>
      </c>
      <c r="S59" s="3">
        <v>0.26</v>
      </c>
    </row>
    <row r="60" spans="8:19">
      <c r="H60" s="3" t="s">
        <v>197</v>
      </c>
      <c r="I60" s="25">
        <v>45815</v>
      </c>
      <c r="J60" s="3" t="s">
        <v>20</v>
      </c>
      <c r="K60" s="3" t="s">
        <v>21</v>
      </c>
      <c r="L60" s="3" t="s">
        <v>15</v>
      </c>
      <c r="M60" s="3" t="s">
        <v>198</v>
      </c>
      <c r="N60" s="3" t="s">
        <v>199</v>
      </c>
      <c r="O60" s="3" t="s">
        <v>18</v>
      </c>
      <c r="P60" s="3">
        <v>183.34</v>
      </c>
      <c r="Q60" s="3">
        <v>5</v>
      </c>
      <c r="R60" s="3">
        <v>17.62</v>
      </c>
      <c r="S60" s="3">
        <v>0.16</v>
      </c>
    </row>
    <row r="61" spans="8:19">
      <c r="H61" s="3" t="s">
        <v>200</v>
      </c>
      <c r="I61" s="25">
        <v>45904</v>
      </c>
      <c r="J61" s="3" t="s">
        <v>28</v>
      </c>
      <c r="K61" s="3" t="s">
        <v>14</v>
      </c>
      <c r="L61" s="3" t="s">
        <v>15</v>
      </c>
      <c r="M61" s="3" t="s">
        <v>201</v>
      </c>
      <c r="N61" s="3" t="s">
        <v>202</v>
      </c>
      <c r="O61" s="3" t="s">
        <v>18</v>
      </c>
      <c r="P61" s="3">
        <v>1453.99</v>
      </c>
      <c r="Q61" s="3">
        <v>9</v>
      </c>
      <c r="R61" s="3">
        <v>237.69</v>
      </c>
      <c r="S61" s="3">
        <v>0.19</v>
      </c>
    </row>
    <row r="62" spans="8:19">
      <c r="H62" s="3" t="s">
        <v>203</v>
      </c>
      <c r="I62" s="25">
        <v>45785</v>
      </c>
      <c r="J62" s="3" t="s">
        <v>13</v>
      </c>
      <c r="K62" s="3" t="s">
        <v>14</v>
      </c>
      <c r="L62" s="3" t="s">
        <v>15</v>
      </c>
      <c r="M62" s="3" t="s">
        <v>204</v>
      </c>
      <c r="N62" s="3" t="s">
        <v>205</v>
      </c>
      <c r="O62" s="3" t="s">
        <v>35</v>
      </c>
      <c r="P62" s="3">
        <v>417.59</v>
      </c>
      <c r="Q62" s="3">
        <v>1</v>
      </c>
      <c r="R62" s="3">
        <v>119.95</v>
      </c>
      <c r="S62" s="3">
        <v>0.12</v>
      </c>
    </row>
    <row r="63" spans="8:19">
      <c r="H63" s="3" t="s">
        <v>206</v>
      </c>
      <c r="I63" s="25">
        <v>45810</v>
      </c>
      <c r="J63" s="3" t="s">
        <v>13</v>
      </c>
      <c r="K63" s="3" t="s">
        <v>32</v>
      </c>
      <c r="L63" s="3" t="s">
        <v>15</v>
      </c>
      <c r="M63" s="3" t="s">
        <v>207</v>
      </c>
      <c r="N63" s="3" t="s">
        <v>208</v>
      </c>
      <c r="O63" s="3" t="s">
        <v>39</v>
      </c>
      <c r="P63" s="3">
        <v>977.64</v>
      </c>
      <c r="Q63" s="3">
        <v>7</v>
      </c>
      <c r="R63" s="3">
        <v>214.86</v>
      </c>
      <c r="S63" s="3">
        <v>0.2</v>
      </c>
    </row>
    <row r="64" spans="8:19">
      <c r="H64" s="3" t="s">
        <v>209</v>
      </c>
      <c r="I64" s="25">
        <v>45738</v>
      </c>
      <c r="J64" s="3" t="s">
        <v>20</v>
      </c>
      <c r="K64" s="3" t="s">
        <v>32</v>
      </c>
      <c r="L64" s="3" t="s">
        <v>15</v>
      </c>
      <c r="M64" s="3" t="s">
        <v>210</v>
      </c>
      <c r="N64" s="3" t="s">
        <v>211</v>
      </c>
      <c r="O64" s="3" t="s">
        <v>35</v>
      </c>
      <c r="P64" s="3">
        <v>1023.3</v>
      </c>
      <c r="Q64" s="3">
        <v>6</v>
      </c>
      <c r="R64" s="3">
        <v>267.27999999999997</v>
      </c>
      <c r="S64" s="3">
        <v>0.02</v>
      </c>
    </row>
    <row r="65" spans="8:19">
      <c r="H65" s="3" t="s">
        <v>212</v>
      </c>
      <c r="I65" s="25">
        <v>45896</v>
      </c>
      <c r="J65" s="3" t="s">
        <v>28</v>
      </c>
      <c r="K65" s="3" t="s">
        <v>32</v>
      </c>
      <c r="L65" s="3" t="s">
        <v>15</v>
      </c>
      <c r="M65" s="3" t="s">
        <v>213</v>
      </c>
      <c r="N65" s="3" t="s">
        <v>214</v>
      </c>
      <c r="O65" s="3" t="s">
        <v>35</v>
      </c>
      <c r="P65" s="3">
        <v>327.85</v>
      </c>
      <c r="Q65" s="3">
        <v>6</v>
      </c>
      <c r="R65" s="3">
        <v>73.34</v>
      </c>
      <c r="S65" s="3">
        <v>0.05</v>
      </c>
    </row>
    <row r="66" spans="8:19">
      <c r="H66" s="3" t="s">
        <v>215</v>
      </c>
      <c r="I66" s="25">
        <v>45801</v>
      </c>
      <c r="J66" s="3" t="s">
        <v>41</v>
      </c>
      <c r="K66" s="3" t="s">
        <v>21</v>
      </c>
      <c r="L66" s="3" t="s">
        <v>15</v>
      </c>
      <c r="M66" s="3" t="s">
        <v>216</v>
      </c>
      <c r="N66" s="3" t="s">
        <v>217</v>
      </c>
      <c r="O66" s="3" t="s">
        <v>18</v>
      </c>
      <c r="P66" s="3">
        <v>1893.28</v>
      </c>
      <c r="Q66" s="3">
        <v>3</v>
      </c>
      <c r="R66" s="3">
        <v>620.61</v>
      </c>
      <c r="S66" s="3">
        <v>0.2</v>
      </c>
    </row>
    <row r="67" spans="8:19">
      <c r="H67" s="3" t="s">
        <v>218</v>
      </c>
      <c r="I67" s="25">
        <v>45764</v>
      </c>
      <c r="J67" s="3" t="s">
        <v>28</v>
      </c>
      <c r="K67" s="3" t="s">
        <v>32</v>
      </c>
      <c r="L67" s="3" t="s">
        <v>15</v>
      </c>
      <c r="M67" s="3" t="s">
        <v>219</v>
      </c>
      <c r="N67" s="3" t="s">
        <v>220</v>
      </c>
      <c r="O67" s="3" t="s">
        <v>35</v>
      </c>
      <c r="P67" s="3">
        <v>1635.46</v>
      </c>
      <c r="Q67" s="3">
        <v>7</v>
      </c>
      <c r="R67" s="3">
        <v>176.5</v>
      </c>
      <c r="S67" s="3">
        <v>0.04</v>
      </c>
    </row>
    <row r="68" spans="8:19">
      <c r="H68" s="3" t="s">
        <v>221</v>
      </c>
      <c r="I68" s="25">
        <v>45936</v>
      </c>
      <c r="J68" s="3" t="s">
        <v>13</v>
      </c>
      <c r="K68" s="3" t="s">
        <v>14</v>
      </c>
      <c r="L68" s="3" t="s">
        <v>15</v>
      </c>
      <c r="M68" s="3" t="s">
        <v>222</v>
      </c>
      <c r="N68" s="3" t="s">
        <v>223</v>
      </c>
      <c r="O68" s="3" t="s">
        <v>18</v>
      </c>
      <c r="P68" s="3">
        <v>1865.98</v>
      </c>
      <c r="Q68" s="3">
        <v>3</v>
      </c>
      <c r="R68" s="3">
        <v>331.52</v>
      </c>
      <c r="S68" s="3">
        <v>0.02</v>
      </c>
    </row>
    <row r="69" spans="8:19">
      <c r="H69" s="3" t="s">
        <v>224</v>
      </c>
      <c r="I69" s="25">
        <v>45870</v>
      </c>
      <c r="J69" s="3" t="s">
        <v>28</v>
      </c>
      <c r="K69" s="3" t="s">
        <v>21</v>
      </c>
      <c r="L69" s="3" t="s">
        <v>15</v>
      </c>
      <c r="M69" s="3" t="s">
        <v>225</v>
      </c>
      <c r="N69" s="3" t="s">
        <v>226</v>
      </c>
      <c r="O69" s="3" t="s">
        <v>39</v>
      </c>
      <c r="P69" s="3">
        <v>747.25</v>
      </c>
      <c r="Q69" s="3">
        <v>7</v>
      </c>
      <c r="R69" s="3">
        <v>268.73</v>
      </c>
      <c r="S69" s="3">
        <v>0.13</v>
      </c>
    </row>
    <row r="70" spans="8:19">
      <c r="H70" s="3" t="s">
        <v>227</v>
      </c>
      <c r="I70" s="25">
        <v>45766</v>
      </c>
      <c r="J70" s="3" t="s">
        <v>28</v>
      </c>
      <c r="K70" s="3" t="s">
        <v>21</v>
      </c>
      <c r="L70" s="3" t="s">
        <v>15</v>
      </c>
      <c r="M70" s="3" t="s">
        <v>228</v>
      </c>
      <c r="N70" s="3" t="s">
        <v>229</v>
      </c>
      <c r="O70" s="3" t="s">
        <v>18</v>
      </c>
      <c r="P70" s="3">
        <v>675.05</v>
      </c>
      <c r="Q70" s="3">
        <v>10</v>
      </c>
      <c r="R70" s="3">
        <v>184.81</v>
      </c>
      <c r="S70" s="3">
        <v>0.08</v>
      </c>
    </row>
    <row r="71" spans="8:19">
      <c r="H71" s="3" t="s">
        <v>230</v>
      </c>
      <c r="I71" s="25">
        <v>45834</v>
      </c>
      <c r="J71" s="3" t="s">
        <v>20</v>
      </c>
      <c r="K71" s="3" t="s">
        <v>14</v>
      </c>
      <c r="L71" s="3" t="s">
        <v>15</v>
      </c>
      <c r="M71" s="3" t="s">
        <v>231</v>
      </c>
      <c r="N71" s="3" t="s">
        <v>232</v>
      </c>
      <c r="O71" s="3" t="s">
        <v>18</v>
      </c>
      <c r="P71" s="3">
        <v>1335.36</v>
      </c>
      <c r="Q71" s="3">
        <v>9</v>
      </c>
      <c r="R71" s="3">
        <v>165.23</v>
      </c>
      <c r="S71" s="3">
        <v>0.08</v>
      </c>
    </row>
    <row r="72" spans="8:19">
      <c r="H72" s="3" t="s">
        <v>233</v>
      </c>
      <c r="I72" s="25">
        <v>45766</v>
      </c>
      <c r="J72" s="3" t="s">
        <v>28</v>
      </c>
      <c r="K72" s="3" t="s">
        <v>32</v>
      </c>
      <c r="L72" s="3" t="s">
        <v>15</v>
      </c>
      <c r="M72" s="3" t="s">
        <v>234</v>
      </c>
      <c r="N72" s="3" t="s">
        <v>235</v>
      </c>
      <c r="O72" s="3" t="s">
        <v>35</v>
      </c>
      <c r="P72" s="3">
        <v>1746.75</v>
      </c>
      <c r="Q72" s="3">
        <v>10</v>
      </c>
      <c r="R72" s="3">
        <v>504.57</v>
      </c>
      <c r="S72" s="3">
        <v>0.27</v>
      </c>
    </row>
    <row r="73" spans="8:19">
      <c r="H73" s="3" t="s">
        <v>236</v>
      </c>
      <c r="I73" s="25">
        <v>45673</v>
      </c>
      <c r="J73" s="3" t="s">
        <v>13</v>
      </c>
      <c r="K73" s="3" t="s">
        <v>14</v>
      </c>
      <c r="L73" s="3" t="s">
        <v>15</v>
      </c>
      <c r="M73" s="3" t="s">
        <v>237</v>
      </c>
      <c r="N73" s="3" t="s">
        <v>238</v>
      </c>
      <c r="O73" s="3" t="s">
        <v>35</v>
      </c>
      <c r="P73" s="3">
        <v>1292.6500000000001</v>
      </c>
      <c r="Q73" s="3">
        <v>9</v>
      </c>
      <c r="R73" s="3">
        <v>339.52</v>
      </c>
      <c r="S73" s="3">
        <v>0.16</v>
      </c>
    </row>
    <row r="74" spans="8:19">
      <c r="H74" s="3" t="s">
        <v>239</v>
      </c>
      <c r="I74" s="25">
        <v>45764</v>
      </c>
      <c r="J74" s="3" t="s">
        <v>28</v>
      </c>
      <c r="K74" s="3" t="s">
        <v>14</v>
      </c>
      <c r="L74" s="3" t="s">
        <v>15</v>
      </c>
      <c r="M74" s="3" t="s">
        <v>240</v>
      </c>
      <c r="N74" s="3" t="s">
        <v>241</v>
      </c>
      <c r="O74" s="3" t="s">
        <v>39</v>
      </c>
      <c r="P74" s="3">
        <v>488.13</v>
      </c>
      <c r="Q74" s="3">
        <v>8</v>
      </c>
      <c r="R74" s="3">
        <v>57.13</v>
      </c>
      <c r="S74" s="3">
        <v>0.05</v>
      </c>
    </row>
    <row r="75" spans="8:19">
      <c r="H75" s="3" t="s">
        <v>242</v>
      </c>
      <c r="I75" s="25">
        <v>45719</v>
      </c>
      <c r="J75" s="3" t="s">
        <v>28</v>
      </c>
      <c r="K75" s="3" t="s">
        <v>32</v>
      </c>
      <c r="L75" s="3" t="s">
        <v>15</v>
      </c>
      <c r="M75" s="3" t="s">
        <v>243</v>
      </c>
      <c r="N75" s="3" t="s">
        <v>244</v>
      </c>
      <c r="O75" s="3" t="s">
        <v>35</v>
      </c>
      <c r="P75" s="3">
        <v>1785.41</v>
      </c>
      <c r="Q75" s="3">
        <v>10</v>
      </c>
      <c r="R75" s="3">
        <v>556.27</v>
      </c>
      <c r="S75" s="3">
        <v>0.09</v>
      </c>
    </row>
    <row r="76" spans="8:19">
      <c r="H76" s="3" t="s">
        <v>245</v>
      </c>
      <c r="I76" s="25">
        <v>45986</v>
      </c>
      <c r="J76" s="3" t="s">
        <v>28</v>
      </c>
      <c r="K76" s="3" t="s">
        <v>21</v>
      </c>
      <c r="L76" s="3" t="s">
        <v>15</v>
      </c>
      <c r="M76" s="3" t="s">
        <v>246</v>
      </c>
      <c r="N76" s="3" t="s">
        <v>247</v>
      </c>
      <c r="O76" s="3" t="s">
        <v>39</v>
      </c>
      <c r="P76" s="3">
        <v>1524.37</v>
      </c>
      <c r="Q76" s="3">
        <v>8</v>
      </c>
      <c r="R76" s="3">
        <v>264.33999999999997</v>
      </c>
      <c r="S76" s="3">
        <v>0.06</v>
      </c>
    </row>
    <row r="77" spans="8:19">
      <c r="H77" s="3" t="s">
        <v>248</v>
      </c>
      <c r="I77" s="25">
        <v>45878</v>
      </c>
      <c r="J77" s="3" t="s">
        <v>28</v>
      </c>
      <c r="K77" s="3" t="s">
        <v>32</v>
      </c>
      <c r="L77" s="3" t="s">
        <v>15</v>
      </c>
      <c r="M77" s="3" t="s">
        <v>249</v>
      </c>
      <c r="N77" s="3" t="s">
        <v>250</v>
      </c>
      <c r="O77" s="3" t="s">
        <v>39</v>
      </c>
      <c r="P77" s="3">
        <v>1723.73</v>
      </c>
      <c r="Q77" s="3">
        <v>8</v>
      </c>
      <c r="R77" s="3">
        <v>619.78</v>
      </c>
      <c r="S77" s="3">
        <v>0.02</v>
      </c>
    </row>
    <row r="78" spans="8:19">
      <c r="H78" s="3" t="s">
        <v>251</v>
      </c>
      <c r="I78" s="25">
        <v>45878</v>
      </c>
      <c r="J78" s="3" t="s">
        <v>41</v>
      </c>
      <c r="K78" s="3" t="s">
        <v>21</v>
      </c>
      <c r="L78" s="3" t="s">
        <v>15</v>
      </c>
      <c r="M78" s="3" t="s">
        <v>252</v>
      </c>
      <c r="N78" s="3" t="s">
        <v>253</v>
      </c>
      <c r="O78" s="3" t="s">
        <v>35</v>
      </c>
      <c r="P78" s="3">
        <v>304.81</v>
      </c>
      <c r="Q78" s="3">
        <v>3</v>
      </c>
      <c r="R78" s="3">
        <v>75.63</v>
      </c>
      <c r="S78" s="3">
        <v>0.08</v>
      </c>
    </row>
    <row r="79" spans="8:19">
      <c r="H79" s="3" t="s">
        <v>254</v>
      </c>
      <c r="I79" s="25">
        <v>46011</v>
      </c>
      <c r="J79" s="3" t="s">
        <v>20</v>
      </c>
      <c r="K79" s="3" t="s">
        <v>21</v>
      </c>
      <c r="L79" s="3" t="s">
        <v>15</v>
      </c>
      <c r="M79" s="3" t="s">
        <v>255</v>
      </c>
      <c r="N79" s="3" t="s">
        <v>256</v>
      </c>
      <c r="O79" s="3" t="s">
        <v>39</v>
      </c>
      <c r="P79" s="3">
        <v>918.17</v>
      </c>
      <c r="Q79" s="3">
        <v>9</v>
      </c>
      <c r="R79" s="3">
        <v>70.569999999999993</v>
      </c>
      <c r="S79" s="3">
        <v>0.2</v>
      </c>
    </row>
    <row r="80" spans="8:19">
      <c r="H80" s="3" t="s">
        <v>257</v>
      </c>
      <c r="I80" s="25">
        <v>45737</v>
      </c>
      <c r="J80" s="3" t="s">
        <v>28</v>
      </c>
      <c r="K80" s="3" t="s">
        <v>21</v>
      </c>
      <c r="L80" s="3" t="s">
        <v>15</v>
      </c>
      <c r="M80" s="3" t="s">
        <v>258</v>
      </c>
      <c r="N80" s="3" t="s">
        <v>259</v>
      </c>
      <c r="O80" s="3" t="s">
        <v>39</v>
      </c>
      <c r="P80" s="3">
        <v>1686.71</v>
      </c>
      <c r="Q80" s="3">
        <v>6</v>
      </c>
      <c r="R80" s="3">
        <v>159.78</v>
      </c>
      <c r="S80" s="3">
        <v>0.27</v>
      </c>
    </row>
    <row r="81" spans="8:19">
      <c r="H81" s="3" t="s">
        <v>260</v>
      </c>
      <c r="I81" s="25">
        <v>45815</v>
      </c>
      <c r="J81" s="3" t="s">
        <v>13</v>
      </c>
      <c r="K81" s="3" t="s">
        <v>21</v>
      </c>
      <c r="L81" s="3" t="s">
        <v>15</v>
      </c>
      <c r="M81" s="3" t="s">
        <v>261</v>
      </c>
      <c r="N81" s="3" t="s">
        <v>262</v>
      </c>
      <c r="O81" s="3" t="s">
        <v>18</v>
      </c>
      <c r="P81" s="3">
        <v>744.42</v>
      </c>
      <c r="Q81" s="3">
        <v>2</v>
      </c>
      <c r="R81" s="3">
        <v>239.46</v>
      </c>
      <c r="S81" s="3">
        <v>0.12</v>
      </c>
    </row>
    <row r="82" spans="8:19">
      <c r="H82" s="3" t="s">
        <v>263</v>
      </c>
      <c r="I82" s="25">
        <v>45822</v>
      </c>
      <c r="J82" s="3" t="s">
        <v>41</v>
      </c>
      <c r="K82" s="3" t="s">
        <v>32</v>
      </c>
      <c r="L82" s="3" t="s">
        <v>15</v>
      </c>
      <c r="M82" s="3" t="s">
        <v>264</v>
      </c>
      <c r="N82" s="3" t="s">
        <v>265</v>
      </c>
      <c r="O82" s="3" t="s">
        <v>18</v>
      </c>
      <c r="P82" s="3">
        <v>401.75</v>
      </c>
      <c r="Q82" s="3">
        <v>3</v>
      </c>
      <c r="R82" s="3">
        <v>135.93</v>
      </c>
      <c r="S82" s="3">
        <v>0.11</v>
      </c>
    </row>
    <row r="83" spans="8:19">
      <c r="H83" s="3" t="s">
        <v>266</v>
      </c>
      <c r="I83" s="25">
        <v>45841</v>
      </c>
      <c r="J83" s="3" t="s">
        <v>41</v>
      </c>
      <c r="K83" s="3" t="s">
        <v>32</v>
      </c>
      <c r="L83" s="3" t="s">
        <v>15</v>
      </c>
      <c r="M83" s="3" t="s">
        <v>267</v>
      </c>
      <c r="N83" s="3" t="s">
        <v>268</v>
      </c>
      <c r="O83" s="3" t="s">
        <v>18</v>
      </c>
      <c r="P83" s="3">
        <v>932.66</v>
      </c>
      <c r="Q83" s="3">
        <v>1</v>
      </c>
      <c r="R83" s="3">
        <v>149.46</v>
      </c>
      <c r="S83" s="3">
        <v>0.11</v>
      </c>
    </row>
    <row r="84" spans="8:19">
      <c r="H84" s="3" t="s">
        <v>269</v>
      </c>
      <c r="I84" s="25">
        <v>45967</v>
      </c>
      <c r="J84" s="3" t="s">
        <v>20</v>
      </c>
      <c r="K84" s="3" t="s">
        <v>32</v>
      </c>
      <c r="L84" s="3" t="s">
        <v>15</v>
      </c>
      <c r="M84" s="3" t="s">
        <v>270</v>
      </c>
      <c r="N84" s="3" t="s">
        <v>271</v>
      </c>
      <c r="O84" s="3" t="s">
        <v>18</v>
      </c>
      <c r="P84" s="3">
        <v>965.2</v>
      </c>
      <c r="Q84" s="3">
        <v>7</v>
      </c>
      <c r="R84" s="3">
        <v>101.14</v>
      </c>
      <c r="S84" s="3">
        <v>0.19</v>
      </c>
    </row>
    <row r="85" spans="8:19">
      <c r="H85" s="3" t="s">
        <v>272</v>
      </c>
      <c r="I85" s="25">
        <v>45878</v>
      </c>
      <c r="J85" s="3" t="s">
        <v>41</v>
      </c>
      <c r="K85" s="3" t="s">
        <v>32</v>
      </c>
      <c r="L85" s="3" t="s">
        <v>15</v>
      </c>
      <c r="M85" s="3" t="s">
        <v>273</v>
      </c>
      <c r="N85" s="3" t="s">
        <v>274</v>
      </c>
      <c r="O85" s="3" t="s">
        <v>18</v>
      </c>
      <c r="P85" s="3">
        <v>387.7</v>
      </c>
      <c r="Q85" s="3">
        <v>6</v>
      </c>
      <c r="R85" s="3">
        <v>138.15</v>
      </c>
      <c r="S85" s="3">
        <v>0.25</v>
      </c>
    </row>
    <row r="86" spans="8:19">
      <c r="H86" s="3" t="s">
        <v>275</v>
      </c>
      <c r="I86" s="25">
        <v>45834</v>
      </c>
      <c r="J86" s="3" t="s">
        <v>41</v>
      </c>
      <c r="K86" s="3" t="s">
        <v>14</v>
      </c>
      <c r="L86" s="3" t="s">
        <v>15</v>
      </c>
      <c r="M86" s="3" t="s">
        <v>276</v>
      </c>
      <c r="N86" s="3" t="s">
        <v>277</v>
      </c>
      <c r="O86" s="3" t="s">
        <v>35</v>
      </c>
      <c r="P86" s="3">
        <v>433.14</v>
      </c>
      <c r="Q86" s="3">
        <v>5</v>
      </c>
      <c r="R86" s="3">
        <v>150.16</v>
      </c>
      <c r="S86" s="3">
        <v>0.12</v>
      </c>
    </row>
    <row r="87" spans="8:19">
      <c r="H87" s="3" t="s">
        <v>278</v>
      </c>
      <c r="I87" s="25">
        <v>46002</v>
      </c>
      <c r="J87" s="3" t="s">
        <v>20</v>
      </c>
      <c r="K87" s="3" t="s">
        <v>21</v>
      </c>
      <c r="L87" s="3" t="s">
        <v>15</v>
      </c>
      <c r="M87" s="3" t="s">
        <v>279</v>
      </c>
      <c r="N87" s="3" t="s">
        <v>280</v>
      </c>
      <c r="O87" s="3" t="s">
        <v>18</v>
      </c>
      <c r="P87" s="3">
        <v>163.66999999999999</v>
      </c>
      <c r="Q87" s="3">
        <v>1</v>
      </c>
      <c r="R87" s="3">
        <v>47.8</v>
      </c>
      <c r="S87" s="3">
        <v>0.02</v>
      </c>
    </row>
    <row r="88" spans="8:19">
      <c r="H88" s="3" t="s">
        <v>281</v>
      </c>
      <c r="I88" s="25">
        <v>45927</v>
      </c>
      <c r="J88" s="3" t="s">
        <v>28</v>
      </c>
      <c r="K88" s="3" t="s">
        <v>32</v>
      </c>
      <c r="L88" s="3" t="s">
        <v>15</v>
      </c>
      <c r="M88" s="3" t="s">
        <v>282</v>
      </c>
      <c r="N88" s="3" t="s">
        <v>283</v>
      </c>
      <c r="O88" s="3" t="s">
        <v>39</v>
      </c>
      <c r="P88" s="3">
        <v>787.83</v>
      </c>
      <c r="Q88" s="3">
        <v>10</v>
      </c>
      <c r="R88" s="3">
        <v>292.73</v>
      </c>
      <c r="S88" s="3">
        <v>0.21</v>
      </c>
    </row>
    <row r="89" spans="8:19">
      <c r="H89" s="3" t="s">
        <v>284</v>
      </c>
      <c r="I89" s="25">
        <v>45939</v>
      </c>
      <c r="J89" s="3" t="s">
        <v>28</v>
      </c>
      <c r="K89" s="3" t="s">
        <v>32</v>
      </c>
      <c r="L89" s="3" t="s">
        <v>15</v>
      </c>
      <c r="M89" s="3" t="s">
        <v>285</v>
      </c>
      <c r="N89" s="3" t="s">
        <v>286</v>
      </c>
      <c r="O89" s="3" t="s">
        <v>35</v>
      </c>
      <c r="P89" s="3">
        <v>497.74</v>
      </c>
      <c r="Q89" s="3">
        <v>5</v>
      </c>
      <c r="R89" s="3">
        <v>167.18</v>
      </c>
      <c r="S89" s="3">
        <v>0.01</v>
      </c>
    </row>
    <row r="90" spans="8:19">
      <c r="H90" s="3" t="s">
        <v>287</v>
      </c>
      <c r="I90" s="25">
        <v>45888</v>
      </c>
      <c r="J90" s="3" t="s">
        <v>13</v>
      </c>
      <c r="K90" s="3" t="s">
        <v>21</v>
      </c>
      <c r="L90" s="3" t="s">
        <v>15</v>
      </c>
      <c r="M90" s="3" t="s">
        <v>288</v>
      </c>
      <c r="N90" s="3" t="s">
        <v>289</v>
      </c>
      <c r="O90" s="3" t="s">
        <v>39</v>
      </c>
      <c r="P90" s="3">
        <v>1937.62</v>
      </c>
      <c r="Q90" s="3">
        <v>3</v>
      </c>
      <c r="R90" s="3">
        <v>589.79</v>
      </c>
      <c r="S90" s="3">
        <v>0.11</v>
      </c>
    </row>
    <row r="91" spans="8:19">
      <c r="H91" s="3" t="s">
        <v>290</v>
      </c>
      <c r="I91" s="25">
        <v>45743</v>
      </c>
      <c r="J91" s="3" t="s">
        <v>20</v>
      </c>
      <c r="K91" s="3" t="s">
        <v>14</v>
      </c>
      <c r="L91" s="3" t="s">
        <v>15</v>
      </c>
      <c r="M91" s="3" t="s">
        <v>291</v>
      </c>
      <c r="N91" s="3" t="s">
        <v>292</v>
      </c>
      <c r="O91" s="3" t="s">
        <v>39</v>
      </c>
      <c r="P91" s="3">
        <v>1370.2</v>
      </c>
      <c r="Q91" s="3">
        <v>9</v>
      </c>
      <c r="R91" s="3">
        <v>546.02</v>
      </c>
      <c r="S91" s="3">
        <v>0.11</v>
      </c>
    </row>
    <row r="92" spans="8:19">
      <c r="H92" s="3" t="s">
        <v>293</v>
      </c>
      <c r="I92" s="25">
        <v>45696</v>
      </c>
      <c r="J92" s="3" t="s">
        <v>28</v>
      </c>
      <c r="K92" s="3" t="s">
        <v>32</v>
      </c>
      <c r="L92" s="3" t="s">
        <v>15</v>
      </c>
      <c r="M92" s="3" t="s">
        <v>294</v>
      </c>
      <c r="N92" s="3" t="s">
        <v>295</v>
      </c>
      <c r="O92" s="3" t="s">
        <v>39</v>
      </c>
      <c r="P92" s="3">
        <v>1014.69</v>
      </c>
      <c r="Q92" s="3">
        <v>1</v>
      </c>
      <c r="R92" s="3">
        <v>146.44</v>
      </c>
      <c r="S92" s="3">
        <v>0.05</v>
      </c>
    </row>
    <row r="93" spans="8:19">
      <c r="H93" s="3" t="s">
        <v>296</v>
      </c>
      <c r="I93" s="25">
        <v>45919</v>
      </c>
      <c r="J93" s="3" t="s">
        <v>13</v>
      </c>
      <c r="K93" s="3" t="s">
        <v>14</v>
      </c>
      <c r="L93" s="3" t="s">
        <v>15</v>
      </c>
      <c r="M93" s="3" t="s">
        <v>297</v>
      </c>
      <c r="N93" s="3" t="s">
        <v>298</v>
      </c>
      <c r="O93" s="3" t="s">
        <v>39</v>
      </c>
      <c r="P93" s="3">
        <v>809.81</v>
      </c>
      <c r="Q93" s="3">
        <v>6</v>
      </c>
      <c r="R93" s="3">
        <v>105.67</v>
      </c>
      <c r="S93" s="3">
        <v>0.19</v>
      </c>
    </row>
    <row r="94" spans="8:19">
      <c r="H94" s="3" t="s">
        <v>299</v>
      </c>
      <c r="I94" s="25">
        <v>45741</v>
      </c>
      <c r="J94" s="3" t="s">
        <v>20</v>
      </c>
      <c r="K94" s="3" t="s">
        <v>21</v>
      </c>
      <c r="L94" s="3" t="s">
        <v>15</v>
      </c>
      <c r="M94" s="3" t="s">
        <v>300</v>
      </c>
      <c r="N94" s="3" t="s">
        <v>301</v>
      </c>
      <c r="O94" s="3" t="s">
        <v>18</v>
      </c>
      <c r="P94" s="3">
        <v>933.32</v>
      </c>
      <c r="Q94" s="3">
        <v>3</v>
      </c>
      <c r="R94" s="3">
        <v>310.8</v>
      </c>
      <c r="S94" s="3">
        <v>0.18</v>
      </c>
    </row>
    <row r="95" spans="8:19">
      <c r="H95" s="3" t="s">
        <v>302</v>
      </c>
      <c r="I95" s="25">
        <v>45830</v>
      </c>
      <c r="J95" s="3" t="s">
        <v>13</v>
      </c>
      <c r="K95" s="3" t="s">
        <v>21</v>
      </c>
      <c r="L95" s="3" t="s">
        <v>15</v>
      </c>
      <c r="M95" s="3" t="s">
        <v>303</v>
      </c>
      <c r="N95" s="3" t="s">
        <v>304</v>
      </c>
      <c r="O95" s="3" t="s">
        <v>35</v>
      </c>
      <c r="P95" s="3">
        <v>900.38</v>
      </c>
      <c r="Q95" s="3">
        <v>5</v>
      </c>
      <c r="R95" s="3">
        <v>68.72</v>
      </c>
      <c r="S95" s="3">
        <v>0.25</v>
      </c>
    </row>
    <row r="96" spans="8:19">
      <c r="H96" s="3" t="s">
        <v>305</v>
      </c>
      <c r="I96" s="25">
        <v>46003</v>
      </c>
      <c r="J96" s="3" t="s">
        <v>13</v>
      </c>
      <c r="K96" s="3" t="s">
        <v>21</v>
      </c>
      <c r="L96" s="3" t="s">
        <v>15</v>
      </c>
      <c r="M96" s="3" t="s">
        <v>306</v>
      </c>
      <c r="N96" s="3" t="s">
        <v>307</v>
      </c>
      <c r="O96" s="3" t="s">
        <v>35</v>
      </c>
      <c r="P96" s="3">
        <v>1038.3399999999999</v>
      </c>
      <c r="Q96" s="3">
        <v>9</v>
      </c>
      <c r="R96" s="3">
        <v>187.15</v>
      </c>
      <c r="S96" s="3">
        <v>0.13</v>
      </c>
    </row>
    <row r="97" spans="8:19">
      <c r="H97" s="3" t="s">
        <v>308</v>
      </c>
      <c r="I97" s="25">
        <v>45720</v>
      </c>
      <c r="J97" s="3" t="s">
        <v>28</v>
      </c>
      <c r="K97" s="3" t="s">
        <v>14</v>
      </c>
      <c r="L97" s="3" t="s">
        <v>15</v>
      </c>
      <c r="M97" s="3" t="s">
        <v>309</v>
      </c>
      <c r="N97" s="3" t="s">
        <v>310</v>
      </c>
      <c r="O97" s="3" t="s">
        <v>18</v>
      </c>
      <c r="P97" s="3">
        <v>791.5</v>
      </c>
      <c r="Q97" s="3">
        <v>7</v>
      </c>
      <c r="R97" s="3">
        <v>275.18</v>
      </c>
      <c r="S97" s="3">
        <v>0.11</v>
      </c>
    </row>
    <row r="98" spans="8:19">
      <c r="H98" s="3" t="s">
        <v>311</v>
      </c>
      <c r="I98" s="25">
        <v>45864</v>
      </c>
      <c r="J98" s="3" t="s">
        <v>20</v>
      </c>
      <c r="K98" s="3" t="s">
        <v>32</v>
      </c>
      <c r="L98" s="3" t="s">
        <v>15</v>
      </c>
      <c r="M98" s="3" t="s">
        <v>312</v>
      </c>
      <c r="N98" s="3" t="s">
        <v>313</v>
      </c>
      <c r="O98" s="3" t="s">
        <v>39</v>
      </c>
      <c r="P98" s="3">
        <v>1406.07</v>
      </c>
      <c r="Q98" s="3">
        <v>4</v>
      </c>
      <c r="R98" s="3">
        <v>97.98</v>
      </c>
      <c r="S98" s="3">
        <v>0.21</v>
      </c>
    </row>
    <row r="99" spans="8:19">
      <c r="H99" s="3" t="s">
        <v>314</v>
      </c>
      <c r="I99" s="25">
        <v>45809</v>
      </c>
      <c r="J99" s="3" t="s">
        <v>20</v>
      </c>
      <c r="K99" s="3" t="s">
        <v>21</v>
      </c>
      <c r="L99" s="3" t="s">
        <v>15</v>
      </c>
      <c r="M99" s="3" t="s">
        <v>315</v>
      </c>
      <c r="N99" s="3" t="s">
        <v>316</v>
      </c>
      <c r="O99" s="3" t="s">
        <v>39</v>
      </c>
      <c r="P99" s="3">
        <v>1774.27</v>
      </c>
      <c r="Q99" s="3">
        <v>10</v>
      </c>
      <c r="R99" s="3">
        <v>408.23</v>
      </c>
      <c r="S99" s="3">
        <v>0.03</v>
      </c>
    </row>
    <row r="100" spans="8:19">
      <c r="H100" s="3" t="s">
        <v>317</v>
      </c>
      <c r="I100" s="25">
        <v>45769</v>
      </c>
      <c r="J100" s="3" t="s">
        <v>28</v>
      </c>
      <c r="K100" s="3" t="s">
        <v>21</v>
      </c>
      <c r="L100" s="3" t="s">
        <v>15</v>
      </c>
      <c r="M100" s="3" t="s">
        <v>318</v>
      </c>
      <c r="N100" s="3" t="s">
        <v>319</v>
      </c>
      <c r="O100" s="3" t="s">
        <v>35</v>
      </c>
      <c r="P100" s="3">
        <v>1298.04</v>
      </c>
      <c r="Q100" s="3">
        <v>7</v>
      </c>
      <c r="R100" s="3">
        <v>368.23</v>
      </c>
      <c r="S100" s="3">
        <v>0.08</v>
      </c>
    </row>
    <row r="101" spans="8:19">
      <c r="H101" s="3" t="s">
        <v>320</v>
      </c>
      <c r="I101" s="25">
        <v>45841</v>
      </c>
      <c r="J101" s="3" t="s">
        <v>20</v>
      </c>
      <c r="K101" s="3" t="s">
        <v>14</v>
      </c>
      <c r="L101" s="3" t="s">
        <v>15</v>
      </c>
      <c r="M101" s="3" t="s">
        <v>321</v>
      </c>
      <c r="N101" s="3" t="s">
        <v>322</v>
      </c>
      <c r="O101" s="3" t="s">
        <v>18</v>
      </c>
      <c r="P101" s="3">
        <v>1041.47</v>
      </c>
      <c r="Q101" s="3">
        <v>7</v>
      </c>
      <c r="R101" s="3">
        <v>91.72</v>
      </c>
      <c r="S101" s="3">
        <v>0.11</v>
      </c>
    </row>
    <row r="102" spans="8:19">
      <c r="H102" s="3" t="s">
        <v>323</v>
      </c>
      <c r="I102" s="25">
        <v>45862</v>
      </c>
      <c r="J102" s="3" t="s">
        <v>28</v>
      </c>
      <c r="K102" s="3" t="s">
        <v>14</v>
      </c>
      <c r="L102" s="3" t="s">
        <v>15</v>
      </c>
      <c r="M102" s="3" t="s">
        <v>324</v>
      </c>
      <c r="N102" s="3" t="s">
        <v>325</v>
      </c>
      <c r="O102" s="3" t="s">
        <v>35</v>
      </c>
      <c r="P102" s="3">
        <v>573.94000000000005</v>
      </c>
      <c r="Q102" s="3">
        <v>10</v>
      </c>
      <c r="R102" s="3">
        <v>174.95</v>
      </c>
      <c r="S102" s="3">
        <v>7.0000000000000007E-2</v>
      </c>
    </row>
    <row r="103" spans="8:19">
      <c r="H103" s="3" t="s">
        <v>326</v>
      </c>
      <c r="I103" s="25">
        <v>46006</v>
      </c>
      <c r="J103" s="3" t="s">
        <v>13</v>
      </c>
      <c r="K103" s="3" t="s">
        <v>21</v>
      </c>
      <c r="L103" s="3" t="s">
        <v>15</v>
      </c>
      <c r="M103" s="3" t="s">
        <v>327</v>
      </c>
      <c r="N103" s="3" t="s">
        <v>328</v>
      </c>
      <c r="O103" s="3" t="s">
        <v>35</v>
      </c>
      <c r="P103" s="3">
        <v>1859.37</v>
      </c>
      <c r="Q103" s="3">
        <v>10</v>
      </c>
      <c r="R103" s="3">
        <v>261.82</v>
      </c>
      <c r="S103" s="3">
        <v>0.18</v>
      </c>
    </row>
    <row r="104" spans="8:19">
      <c r="H104" s="3" t="s">
        <v>329</v>
      </c>
      <c r="I104" s="25">
        <v>46019</v>
      </c>
      <c r="J104" s="3" t="s">
        <v>13</v>
      </c>
      <c r="K104" s="3" t="s">
        <v>21</v>
      </c>
      <c r="L104" s="3" t="s">
        <v>15</v>
      </c>
      <c r="M104" s="3" t="s">
        <v>330</v>
      </c>
      <c r="N104" s="3" t="s">
        <v>331</v>
      </c>
      <c r="O104" s="3" t="s">
        <v>35</v>
      </c>
      <c r="P104" s="3">
        <v>1951.97</v>
      </c>
      <c r="Q104" s="3">
        <v>8</v>
      </c>
      <c r="R104" s="3">
        <v>242.52</v>
      </c>
      <c r="S104" s="3">
        <v>0.25</v>
      </c>
    </row>
    <row r="105" spans="8:19">
      <c r="H105" s="3" t="s">
        <v>332</v>
      </c>
      <c r="I105" s="25">
        <v>45763</v>
      </c>
      <c r="J105" s="3" t="s">
        <v>13</v>
      </c>
      <c r="K105" s="3" t="s">
        <v>32</v>
      </c>
      <c r="L105" s="3" t="s">
        <v>15</v>
      </c>
      <c r="M105" s="3" t="s">
        <v>333</v>
      </c>
      <c r="N105" s="3" t="s">
        <v>334</v>
      </c>
      <c r="O105" s="3" t="s">
        <v>35</v>
      </c>
      <c r="P105" s="3">
        <v>1521.47</v>
      </c>
      <c r="Q105" s="3">
        <v>1</v>
      </c>
      <c r="R105" s="3">
        <v>120.08</v>
      </c>
      <c r="S105" s="3">
        <v>0.04</v>
      </c>
    </row>
    <row r="106" spans="8:19">
      <c r="H106" s="3" t="s">
        <v>335</v>
      </c>
      <c r="I106" s="25">
        <v>45782</v>
      </c>
      <c r="J106" s="3" t="s">
        <v>13</v>
      </c>
      <c r="K106" s="3" t="s">
        <v>32</v>
      </c>
      <c r="L106" s="3" t="s">
        <v>15</v>
      </c>
      <c r="M106" s="3" t="s">
        <v>336</v>
      </c>
      <c r="N106" s="3" t="s">
        <v>337</v>
      </c>
      <c r="O106" s="3" t="s">
        <v>18</v>
      </c>
      <c r="P106" s="3">
        <v>158.16</v>
      </c>
      <c r="Q106" s="3">
        <v>10</v>
      </c>
      <c r="R106" s="3">
        <v>24.33</v>
      </c>
      <c r="S106" s="3">
        <v>0.18</v>
      </c>
    </row>
    <row r="107" spans="8:19">
      <c r="H107" s="3" t="s">
        <v>338</v>
      </c>
      <c r="I107" s="25">
        <v>45799</v>
      </c>
      <c r="J107" s="3" t="s">
        <v>13</v>
      </c>
      <c r="K107" s="3" t="s">
        <v>21</v>
      </c>
      <c r="L107" s="3" t="s">
        <v>15</v>
      </c>
      <c r="M107" s="3" t="s">
        <v>339</v>
      </c>
      <c r="N107" s="3" t="s">
        <v>340</v>
      </c>
      <c r="O107" s="3" t="s">
        <v>18</v>
      </c>
      <c r="P107" s="3">
        <v>1578.82</v>
      </c>
      <c r="Q107" s="3">
        <v>8</v>
      </c>
      <c r="R107" s="3">
        <v>253.36</v>
      </c>
      <c r="S107" s="3">
        <v>7.0000000000000007E-2</v>
      </c>
    </row>
    <row r="108" spans="8:19">
      <c r="H108" s="3" t="s">
        <v>341</v>
      </c>
      <c r="I108" s="25">
        <v>45936</v>
      </c>
      <c r="J108" s="3" t="s">
        <v>41</v>
      </c>
      <c r="K108" s="3" t="s">
        <v>21</v>
      </c>
      <c r="L108" s="3" t="s">
        <v>15</v>
      </c>
      <c r="M108" s="3" t="s">
        <v>342</v>
      </c>
      <c r="N108" s="3" t="s">
        <v>343</v>
      </c>
      <c r="O108" s="3" t="s">
        <v>39</v>
      </c>
      <c r="P108" s="3">
        <v>727.58</v>
      </c>
      <c r="Q108" s="3">
        <v>9</v>
      </c>
      <c r="R108" s="3">
        <v>112.75</v>
      </c>
      <c r="S108" s="3">
        <v>0.02</v>
      </c>
    </row>
    <row r="109" spans="8:19">
      <c r="H109" s="3" t="s">
        <v>344</v>
      </c>
      <c r="I109" s="25">
        <v>45683</v>
      </c>
      <c r="J109" s="3" t="s">
        <v>13</v>
      </c>
      <c r="K109" s="3" t="s">
        <v>21</v>
      </c>
      <c r="L109" s="3" t="s">
        <v>15</v>
      </c>
      <c r="M109" s="3" t="s">
        <v>345</v>
      </c>
      <c r="N109" s="3" t="s">
        <v>346</v>
      </c>
      <c r="O109" s="3" t="s">
        <v>39</v>
      </c>
      <c r="P109" s="3">
        <v>1170.1400000000001</v>
      </c>
      <c r="Q109" s="3">
        <v>5</v>
      </c>
      <c r="R109" s="3">
        <v>369.06</v>
      </c>
      <c r="S109" s="3">
        <v>0.21</v>
      </c>
    </row>
    <row r="110" spans="8:19">
      <c r="H110" s="3" t="s">
        <v>347</v>
      </c>
      <c r="I110" s="25">
        <v>45950</v>
      </c>
      <c r="J110" s="3" t="s">
        <v>28</v>
      </c>
      <c r="K110" s="3" t="s">
        <v>32</v>
      </c>
      <c r="L110" s="3" t="s">
        <v>15</v>
      </c>
      <c r="M110" s="3" t="s">
        <v>348</v>
      </c>
      <c r="N110" s="3" t="s">
        <v>349</v>
      </c>
      <c r="O110" s="3" t="s">
        <v>35</v>
      </c>
      <c r="P110" s="3">
        <v>518.80999999999995</v>
      </c>
      <c r="Q110" s="3">
        <v>6</v>
      </c>
      <c r="R110" s="3">
        <v>137.55000000000001</v>
      </c>
      <c r="S110" s="3">
        <v>0.15</v>
      </c>
    </row>
    <row r="111" spans="8:19">
      <c r="H111" s="3" t="s">
        <v>350</v>
      </c>
      <c r="I111" s="25">
        <v>45729</v>
      </c>
      <c r="J111" s="3" t="s">
        <v>13</v>
      </c>
      <c r="K111" s="3" t="s">
        <v>14</v>
      </c>
      <c r="L111" s="3" t="s">
        <v>15</v>
      </c>
      <c r="M111" s="3" t="s">
        <v>351</v>
      </c>
      <c r="N111" s="3" t="s">
        <v>352</v>
      </c>
      <c r="O111" s="3" t="s">
        <v>35</v>
      </c>
      <c r="P111" s="3">
        <v>1763.25</v>
      </c>
      <c r="Q111" s="3">
        <v>7</v>
      </c>
      <c r="R111" s="3">
        <v>560.69000000000005</v>
      </c>
      <c r="S111" s="3">
        <v>0.28999999999999998</v>
      </c>
    </row>
    <row r="112" spans="8:19">
      <c r="H112" s="3" t="s">
        <v>353</v>
      </c>
      <c r="I112" s="25">
        <v>45905</v>
      </c>
      <c r="J112" s="3" t="s">
        <v>41</v>
      </c>
      <c r="K112" s="3" t="s">
        <v>32</v>
      </c>
      <c r="L112" s="3" t="s">
        <v>15</v>
      </c>
      <c r="M112" s="3" t="s">
        <v>354</v>
      </c>
      <c r="N112" s="3" t="s">
        <v>355</v>
      </c>
      <c r="O112" s="3" t="s">
        <v>35</v>
      </c>
      <c r="P112" s="3">
        <v>1424.89</v>
      </c>
      <c r="Q112" s="3">
        <v>1</v>
      </c>
      <c r="R112" s="3">
        <v>468.8</v>
      </c>
      <c r="S112" s="3">
        <v>0.25</v>
      </c>
    </row>
    <row r="113" spans="8:19">
      <c r="H113" s="3" t="s">
        <v>356</v>
      </c>
      <c r="I113" s="25">
        <v>45861</v>
      </c>
      <c r="J113" s="3" t="s">
        <v>13</v>
      </c>
      <c r="K113" s="3" t="s">
        <v>32</v>
      </c>
      <c r="L113" s="3" t="s">
        <v>15</v>
      </c>
      <c r="M113" s="3" t="s">
        <v>357</v>
      </c>
      <c r="N113" s="3" t="s">
        <v>358</v>
      </c>
      <c r="O113" s="3" t="s">
        <v>35</v>
      </c>
      <c r="P113" s="3">
        <v>1041.3800000000001</v>
      </c>
      <c r="Q113" s="3">
        <v>2</v>
      </c>
      <c r="R113" s="3">
        <v>338.72</v>
      </c>
      <c r="S113" s="3">
        <v>0.14000000000000001</v>
      </c>
    </row>
    <row r="114" spans="8:19">
      <c r="H114" s="3" t="s">
        <v>359</v>
      </c>
      <c r="I114" s="25">
        <v>45833</v>
      </c>
      <c r="J114" s="3" t="s">
        <v>28</v>
      </c>
      <c r="K114" s="3" t="s">
        <v>14</v>
      </c>
      <c r="L114" s="3" t="s">
        <v>15</v>
      </c>
      <c r="M114" s="3" t="s">
        <v>360</v>
      </c>
      <c r="N114" s="3" t="s">
        <v>361</v>
      </c>
      <c r="O114" s="3" t="s">
        <v>35</v>
      </c>
      <c r="P114" s="3">
        <v>1620.77</v>
      </c>
      <c r="Q114" s="3">
        <v>1</v>
      </c>
      <c r="R114" s="3">
        <v>542.28</v>
      </c>
      <c r="S114" s="3">
        <v>0.19</v>
      </c>
    </row>
    <row r="115" spans="8:19">
      <c r="H115" s="3" t="s">
        <v>362</v>
      </c>
      <c r="I115" s="25">
        <v>45826</v>
      </c>
      <c r="J115" s="3" t="s">
        <v>13</v>
      </c>
      <c r="K115" s="3" t="s">
        <v>14</v>
      </c>
      <c r="L115" s="3" t="s">
        <v>15</v>
      </c>
      <c r="M115" s="3" t="s">
        <v>363</v>
      </c>
      <c r="N115" s="3" t="s">
        <v>364</v>
      </c>
      <c r="O115" s="3" t="s">
        <v>39</v>
      </c>
      <c r="P115" s="3">
        <v>1098.78</v>
      </c>
      <c r="Q115" s="3">
        <v>2</v>
      </c>
      <c r="R115" s="3">
        <v>303.47000000000003</v>
      </c>
      <c r="S115" s="3">
        <v>0.3</v>
      </c>
    </row>
    <row r="116" spans="8:19">
      <c r="H116" s="3" t="s">
        <v>365</v>
      </c>
      <c r="I116" s="25">
        <v>45798</v>
      </c>
      <c r="J116" s="3" t="s">
        <v>41</v>
      </c>
      <c r="K116" s="3" t="s">
        <v>21</v>
      </c>
      <c r="L116" s="3" t="s">
        <v>15</v>
      </c>
      <c r="M116" s="3" t="s">
        <v>366</v>
      </c>
      <c r="N116" s="3" t="s">
        <v>367</v>
      </c>
      <c r="O116" s="3" t="s">
        <v>18</v>
      </c>
      <c r="P116" s="3">
        <v>1445.75</v>
      </c>
      <c r="Q116" s="3">
        <v>1</v>
      </c>
      <c r="R116" s="3">
        <v>441.23</v>
      </c>
      <c r="S116" s="3">
        <v>0.19</v>
      </c>
    </row>
    <row r="117" spans="8:19">
      <c r="H117" s="3" t="s">
        <v>368</v>
      </c>
      <c r="I117" s="25">
        <v>45856</v>
      </c>
      <c r="J117" s="3" t="s">
        <v>13</v>
      </c>
      <c r="K117" s="3" t="s">
        <v>32</v>
      </c>
      <c r="L117" s="3" t="s">
        <v>15</v>
      </c>
      <c r="M117" s="3" t="s">
        <v>369</v>
      </c>
      <c r="N117" s="3" t="s">
        <v>370</v>
      </c>
      <c r="O117" s="3" t="s">
        <v>35</v>
      </c>
      <c r="P117" s="3">
        <v>1116.6099999999999</v>
      </c>
      <c r="Q117" s="3">
        <v>3</v>
      </c>
      <c r="R117" s="3">
        <v>231.7</v>
      </c>
      <c r="S117" s="3">
        <v>0.22</v>
      </c>
    </row>
    <row r="118" spans="8:19">
      <c r="H118" s="3" t="s">
        <v>371</v>
      </c>
      <c r="I118" s="25">
        <v>45680</v>
      </c>
      <c r="J118" s="3" t="s">
        <v>28</v>
      </c>
      <c r="K118" s="3" t="s">
        <v>32</v>
      </c>
      <c r="L118" s="3" t="s">
        <v>15</v>
      </c>
      <c r="M118" s="3" t="s">
        <v>372</v>
      </c>
      <c r="N118" s="3" t="s">
        <v>373</v>
      </c>
      <c r="O118" s="3" t="s">
        <v>35</v>
      </c>
      <c r="P118" s="3">
        <v>196.35</v>
      </c>
      <c r="Q118" s="3">
        <v>3</v>
      </c>
      <c r="R118" s="3">
        <v>71.41</v>
      </c>
      <c r="S118" s="3">
        <v>0.27</v>
      </c>
    </row>
    <row r="119" spans="8:19">
      <c r="H119" s="3" t="s">
        <v>374</v>
      </c>
      <c r="I119" s="25">
        <v>45814</v>
      </c>
      <c r="J119" s="3" t="s">
        <v>13</v>
      </c>
      <c r="K119" s="3" t="s">
        <v>32</v>
      </c>
      <c r="L119" s="3" t="s">
        <v>15</v>
      </c>
      <c r="M119" s="3" t="s">
        <v>375</v>
      </c>
      <c r="N119" s="3" t="s">
        <v>376</v>
      </c>
      <c r="O119" s="3" t="s">
        <v>39</v>
      </c>
      <c r="P119" s="3">
        <v>801.5</v>
      </c>
      <c r="Q119" s="3">
        <v>3</v>
      </c>
      <c r="R119" s="3">
        <v>294.83999999999997</v>
      </c>
      <c r="S119" s="3">
        <v>0.05</v>
      </c>
    </row>
    <row r="120" spans="8:19">
      <c r="H120" s="3" t="s">
        <v>377</v>
      </c>
      <c r="I120" s="25">
        <v>45768</v>
      </c>
      <c r="J120" s="3" t="s">
        <v>41</v>
      </c>
      <c r="K120" s="3" t="s">
        <v>14</v>
      </c>
      <c r="L120" s="3" t="s">
        <v>15</v>
      </c>
      <c r="M120" s="3" t="s">
        <v>378</v>
      </c>
      <c r="N120" s="3" t="s">
        <v>379</v>
      </c>
      <c r="O120" s="3" t="s">
        <v>35</v>
      </c>
      <c r="P120" s="3">
        <v>1336.37</v>
      </c>
      <c r="Q120" s="3">
        <v>1</v>
      </c>
      <c r="R120" s="3">
        <v>506.43</v>
      </c>
      <c r="S120" s="3">
        <v>0.01</v>
      </c>
    </row>
    <row r="121" spans="8:19">
      <c r="H121" s="3" t="s">
        <v>380</v>
      </c>
      <c r="I121" s="25">
        <v>45851</v>
      </c>
      <c r="J121" s="3" t="s">
        <v>13</v>
      </c>
      <c r="K121" s="3" t="s">
        <v>21</v>
      </c>
      <c r="L121" s="3" t="s">
        <v>15</v>
      </c>
      <c r="M121" s="3" t="s">
        <v>381</v>
      </c>
      <c r="N121" s="3" t="s">
        <v>382</v>
      </c>
      <c r="O121" s="3" t="s">
        <v>18</v>
      </c>
      <c r="P121" s="3">
        <v>930.28</v>
      </c>
      <c r="Q121" s="3">
        <v>5</v>
      </c>
      <c r="R121" s="3">
        <v>190.31</v>
      </c>
      <c r="S121" s="3">
        <v>0.17</v>
      </c>
    </row>
    <row r="122" spans="8:19">
      <c r="H122" s="3" t="s">
        <v>383</v>
      </c>
      <c r="I122" s="25">
        <v>45715</v>
      </c>
      <c r="J122" s="3" t="s">
        <v>28</v>
      </c>
      <c r="K122" s="3" t="s">
        <v>32</v>
      </c>
      <c r="L122" s="3" t="s">
        <v>15</v>
      </c>
      <c r="M122" s="3" t="s">
        <v>384</v>
      </c>
      <c r="N122" s="3" t="s">
        <v>385</v>
      </c>
      <c r="O122" s="3" t="s">
        <v>35</v>
      </c>
      <c r="P122" s="3">
        <v>1743.77</v>
      </c>
      <c r="Q122" s="3">
        <v>4</v>
      </c>
      <c r="R122" s="3">
        <v>381.81</v>
      </c>
      <c r="S122" s="3">
        <v>0.21</v>
      </c>
    </row>
    <row r="123" spans="8:19">
      <c r="H123" s="3" t="s">
        <v>386</v>
      </c>
      <c r="I123" s="25">
        <v>45968</v>
      </c>
      <c r="J123" s="3" t="s">
        <v>20</v>
      </c>
      <c r="K123" s="3" t="s">
        <v>32</v>
      </c>
      <c r="L123" s="3" t="s">
        <v>15</v>
      </c>
      <c r="M123" s="3" t="s">
        <v>387</v>
      </c>
      <c r="N123" s="3" t="s">
        <v>388</v>
      </c>
      <c r="O123" s="3" t="s">
        <v>18</v>
      </c>
      <c r="P123" s="3">
        <v>281.23</v>
      </c>
      <c r="Q123" s="3">
        <v>3</v>
      </c>
      <c r="R123" s="3">
        <v>68.38</v>
      </c>
      <c r="S123" s="3">
        <v>0.06</v>
      </c>
    </row>
    <row r="124" spans="8:19">
      <c r="H124" s="3" t="s">
        <v>389</v>
      </c>
      <c r="I124" s="25">
        <v>45809</v>
      </c>
      <c r="J124" s="3" t="s">
        <v>13</v>
      </c>
      <c r="K124" s="3" t="s">
        <v>14</v>
      </c>
      <c r="L124" s="3" t="s">
        <v>15</v>
      </c>
      <c r="M124" s="3" t="s">
        <v>390</v>
      </c>
      <c r="N124" s="3" t="s">
        <v>391</v>
      </c>
      <c r="O124" s="3" t="s">
        <v>18</v>
      </c>
      <c r="P124" s="3">
        <v>1903.38</v>
      </c>
      <c r="Q124" s="3">
        <v>1</v>
      </c>
      <c r="R124" s="3">
        <v>139.03</v>
      </c>
      <c r="S124" s="3">
        <v>0.14000000000000001</v>
      </c>
    </row>
    <row r="125" spans="8:19">
      <c r="H125" s="3" t="s">
        <v>392</v>
      </c>
      <c r="I125" s="25">
        <v>45912</v>
      </c>
      <c r="J125" s="3" t="s">
        <v>28</v>
      </c>
      <c r="K125" s="3" t="s">
        <v>32</v>
      </c>
      <c r="L125" s="3" t="s">
        <v>15</v>
      </c>
      <c r="M125" s="3" t="s">
        <v>393</v>
      </c>
      <c r="N125" s="3" t="s">
        <v>394</v>
      </c>
      <c r="O125" s="3" t="s">
        <v>35</v>
      </c>
      <c r="P125" s="3">
        <v>1636.6</v>
      </c>
      <c r="Q125" s="3">
        <v>6</v>
      </c>
      <c r="R125" s="3">
        <v>292.58999999999997</v>
      </c>
      <c r="S125" s="3">
        <v>0.01</v>
      </c>
    </row>
    <row r="126" spans="8:19">
      <c r="H126" s="3" t="s">
        <v>395</v>
      </c>
      <c r="I126" s="25">
        <v>45821</v>
      </c>
      <c r="J126" s="3" t="s">
        <v>13</v>
      </c>
      <c r="K126" s="3" t="s">
        <v>14</v>
      </c>
      <c r="L126" s="3" t="s">
        <v>15</v>
      </c>
      <c r="M126" s="3" t="s">
        <v>396</v>
      </c>
      <c r="N126" s="3" t="s">
        <v>397</v>
      </c>
      <c r="O126" s="3" t="s">
        <v>39</v>
      </c>
      <c r="P126" s="3">
        <v>1076.49</v>
      </c>
      <c r="Q126" s="3">
        <v>3</v>
      </c>
      <c r="R126" s="3">
        <v>93.19</v>
      </c>
      <c r="S126" s="3">
        <v>0.09</v>
      </c>
    </row>
    <row r="127" spans="8:19">
      <c r="H127" s="3" t="s">
        <v>398</v>
      </c>
      <c r="I127" s="25">
        <v>45979</v>
      </c>
      <c r="J127" s="3" t="s">
        <v>41</v>
      </c>
      <c r="K127" s="3" t="s">
        <v>14</v>
      </c>
      <c r="L127" s="3" t="s">
        <v>15</v>
      </c>
      <c r="M127" s="3" t="s">
        <v>399</v>
      </c>
      <c r="N127" s="3" t="s">
        <v>400</v>
      </c>
      <c r="O127" s="3" t="s">
        <v>39</v>
      </c>
      <c r="P127" s="3">
        <v>1975.53</v>
      </c>
      <c r="Q127" s="3">
        <v>8</v>
      </c>
      <c r="R127" s="3">
        <v>376.33</v>
      </c>
      <c r="S127" s="3">
        <v>0.21</v>
      </c>
    </row>
    <row r="128" spans="8:19">
      <c r="H128" s="3" t="s">
        <v>401</v>
      </c>
      <c r="I128" s="25">
        <v>46017</v>
      </c>
      <c r="J128" s="3" t="s">
        <v>20</v>
      </c>
      <c r="K128" s="3" t="s">
        <v>21</v>
      </c>
      <c r="L128" s="3" t="s">
        <v>15</v>
      </c>
      <c r="M128" s="3" t="s">
        <v>402</v>
      </c>
      <c r="N128" s="3" t="s">
        <v>403</v>
      </c>
      <c r="O128" s="3" t="s">
        <v>18</v>
      </c>
      <c r="P128" s="3">
        <v>526.32000000000005</v>
      </c>
      <c r="Q128" s="3">
        <v>2</v>
      </c>
      <c r="R128" s="3">
        <v>108.83</v>
      </c>
      <c r="S128" s="3">
        <v>0.25</v>
      </c>
    </row>
    <row r="129" spans="8:19">
      <c r="H129" s="3" t="s">
        <v>404</v>
      </c>
      <c r="I129" s="25">
        <v>45964</v>
      </c>
      <c r="J129" s="3" t="s">
        <v>41</v>
      </c>
      <c r="K129" s="3" t="s">
        <v>14</v>
      </c>
      <c r="L129" s="3" t="s">
        <v>15</v>
      </c>
      <c r="M129" s="3" t="s">
        <v>405</v>
      </c>
      <c r="N129" s="3" t="s">
        <v>406</v>
      </c>
      <c r="O129" s="3" t="s">
        <v>18</v>
      </c>
      <c r="P129" s="3">
        <v>1410.53</v>
      </c>
      <c r="Q129" s="3">
        <v>2</v>
      </c>
      <c r="R129" s="3">
        <v>312.77</v>
      </c>
      <c r="S129" s="3">
        <v>0.27</v>
      </c>
    </row>
    <row r="130" spans="8:19">
      <c r="H130" s="3" t="s">
        <v>407</v>
      </c>
      <c r="I130" s="25">
        <v>45756</v>
      </c>
      <c r="J130" s="3" t="s">
        <v>20</v>
      </c>
      <c r="K130" s="3" t="s">
        <v>21</v>
      </c>
      <c r="L130" s="3" t="s">
        <v>15</v>
      </c>
      <c r="M130" s="3" t="s">
        <v>408</v>
      </c>
      <c r="N130" s="3" t="s">
        <v>409</v>
      </c>
      <c r="O130" s="3" t="s">
        <v>18</v>
      </c>
      <c r="P130" s="3">
        <v>984.45</v>
      </c>
      <c r="Q130" s="3">
        <v>9</v>
      </c>
      <c r="R130" s="3">
        <v>115.21</v>
      </c>
      <c r="S130" s="3">
        <v>0.02</v>
      </c>
    </row>
    <row r="131" spans="8:19">
      <c r="H131" s="3" t="s">
        <v>410</v>
      </c>
      <c r="I131" s="25">
        <v>45702</v>
      </c>
      <c r="J131" s="3" t="s">
        <v>20</v>
      </c>
      <c r="K131" s="3" t="s">
        <v>32</v>
      </c>
      <c r="L131" s="3" t="s">
        <v>15</v>
      </c>
      <c r="M131" s="3" t="s">
        <v>411</v>
      </c>
      <c r="N131" s="3" t="s">
        <v>412</v>
      </c>
      <c r="O131" s="3" t="s">
        <v>18</v>
      </c>
      <c r="P131" s="3">
        <v>1626.13</v>
      </c>
      <c r="Q131" s="3">
        <v>8</v>
      </c>
      <c r="R131" s="3">
        <v>288.89</v>
      </c>
      <c r="S131" s="3">
        <v>0.14000000000000001</v>
      </c>
    </row>
    <row r="132" spans="8:19">
      <c r="H132" s="3" t="s">
        <v>413</v>
      </c>
      <c r="I132" s="25">
        <v>45952</v>
      </c>
      <c r="J132" s="3" t="s">
        <v>41</v>
      </c>
      <c r="K132" s="3" t="s">
        <v>21</v>
      </c>
      <c r="L132" s="3" t="s">
        <v>15</v>
      </c>
      <c r="M132" s="3" t="s">
        <v>414</v>
      </c>
      <c r="N132" s="3" t="s">
        <v>415</v>
      </c>
      <c r="O132" s="3" t="s">
        <v>39</v>
      </c>
      <c r="P132" s="3">
        <v>1396.79</v>
      </c>
      <c r="Q132" s="3">
        <v>2</v>
      </c>
      <c r="R132" s="3">
        <v>486.37</v>
      </c>
      <c r="S132" s="3">
        <v>0.01</v>
      </c>
    </row>
    <row r="133" spans="8:19">
      <c r="H133" s="3" t="s">
        <v>416</v>
      </c>
      <c r="I133" s="25">
        <v>45718</v>
      </c>
      <c r="J133" s="3" t="s">
        <v>13</v>
      </c>
      <c r="K133" s="3" t="s">
        <v>14</v>
      </c>
      <c r="L133" s="3" t="s">
        <v>15</v>
      </c>
      <c r="M133" s="3" t="s">
        <v>417</v>
      </c>
      <c r="N133" s="3" t="s">
        <v>418</v>
      </c>
      <c r="O133" s="3" t="s">
        <v>35</v>
      </c>
      <c r="P133" s="3">
        <v>1640.42</v>
      </c>
      <c r="Q133" s="3">
        <v>8</v>
      </c>
      <c r="R133" s="3">
        <v>132.34</v>
      </c>
      <c r="S133" s="3">
        <v>0.12</v>
      </c>
    </row>
    <row r="134" spans="8:19">
      <c r="H134" s="3" t="s">
        <v>419</v>
      </c>
      <c r="I134" s="25">
        <v>45703</v>
      </c>
      <c r="J134" s="3" t="s">
        <v>20</v>
      </c>
      <c r="K134" s="3" t="s">
        <v>14</v>
      </c>
      <c r="L134" s="3" t="s">
        <v>15</v>
      </c>
      <c r="M134" s="3" t="s">
        <v>420</v>
      </c>
      <c r="N134" s="3" t="s">
        <v>421</v>
      </c>
      <c r="O134" s="3" t="s">
        <v>35</v>
      </c>
      <c r="P134" s="3">
        <v>1565.77</v>
      </c>
      <c r="Q134" s="3">
        <v>5</v>
      </c>
      <c r="R134" s="3">
        <v>236.78</v>
      </c>
      <c r="S134" s="3">
        <v>0.3</v>
      </c>
    </row>
    <row r="135" spans="8:19">
      <c r="H135" s="3" t="s">
        <v>422</v>
      </c>
      <c r="I135" s="25">
        <v>45796</v>
      </c>
      <c r="J135" s="3" t="s">
        <v>13</v>
      </c>
      <c r="K135" s="3" t="s">
        <v>21</v>
      </c>
      <c r="L135" s="3" t="s">
        <v>15</v>
      </c>
      <c r="M135" s="3" t="s">
        <v>423</v>
      </c>
      <c r="N135" s="3" t="s">
        <v>424</v>
      </c>
      <c r="O135" s="3" t="s">
        <v>39</v>
      </c>
      <c r="P135" s="3">
        <v>1214.97</v>
      </c>
      <c r="Q135" s="3">
        <v>7</v>
      </c>
      <c r="R135" s="3">
        <v>89.26</v>
      </c>
      <c r="S135" s="3">
        <v>0.17</v>
      </c>
    </row>
    <row r="136" spans="8:19">
      <c r="H136" s="3" t="s">
        <v>425</v>
      </c>
      <c r="I136" s="25">
        <v>45927</v>
      </c>
      <c r="J136" s="3" t="s">
        <v>28</v>
      </c>
      <c r="K136" s="3" t="s">
        <v>32</v>
      </c>
      <c r="L136" s="3" t="s">
        <v>15</v>
      </c>
      <c r="M136" s="3" t="s">
        <v>426</v>
      </c>
      <c r="N136" s="3" t="s">
        <v>427</v>
      </c>
      <c r="O136" s="3" t="s">
        <v>18</v>
      </c>
      <c r="P136" s="3">
        <v>358.7</v>
      </c>
      <c r="Q136" s="3">
        <v>6</v>
      </c>
      <c r="R136" s="3">
        <v>95.35</v>
      </c>
      <c r="S136" s="3">
        <v>0.22</v>
      </c>
    </row>
    <row r="137" spans="8:19">
      <c r="H137" s="3" t="s">
        <v>428</v>
      </c>
      <c r="I137" s="25">
        <v>45724</v>
      </c>
      <c r="J137" s="3" t="s">
        <v>28</v>
      </c>
      <c r="K137" s="3" t="s">
        <v>14</v>
      </c>
      <c r="L137" s="3" t="s">
        <v>15</v>
      </c>
      <c r="M137" s="3" t="s">
        <v>429</v>
      </c>
      <c r="N137" s="3" t="s">
        <v>430</v>
      </c>
      <c r="O137" s="3" t="s">
        <v>18</v>
      </c>
      <c r="P137" s="3">
        <v>1061.21</v>
      </c>
      <c r="Q137" s="3">
        <v>9</v>
      </c>
      <c r="R137" s="3">
        <v>144.66999999999999</v>
      </c>
      <c r="S137" s="3">
        <v>0.27</v>
      </c>
    </row>
    <row r="138" spans="8:19">
      <c r="H138" s="3" t="s">
        <v>431</v>
      </c>
      <c r="I138" s="25">
        <v>45940</v>
      </c>
      <c r="J138" s="3" t="s">
        <v>41</v>
      </c>
      <c r="K138" s="3" t="s">
        <v>14</v>
      </c>
      <c r="L138" s="3" t="s">
        <v>15</v>
      </c>
      <c r="M138" s="3" t="s">
        <v>432</v>
      </c>
      <c r="N138" s="3" t="s">
        <v>433</v>
      </c>
      <c r="O138" s="3" t="s">
        <v>18</v>
      </c>
      <c r="P138" s="3">
        <v>1802.81</v>
      </c>
      <c r="Q138" s="3">
        <v>8</v>
      </c>
      <c r="R138" s="3">
        <v>147.41999999999999</v>
      </c>
      <c r="S138" s="3">
        <v>0.14000000000000001</v>
      </c>
    </row>
    <row r="139" spans="8:19">
      <c r="H139" s="3" t="s">
        <v>434</v>
      </c>
      <c r="I139" s="25">
        <v>45697</v>
      </c>
      <c r="J139" s="3" t="s">
        <v>20</v>
      </c>
      <c r="K139" s="3" t="s">
        <v>32</v>
      </c>
      <c r="L139" s="3" t="s">
        <v>15</v>
      </c>
      <c r="M139" s="3" t="s">
        <v>435</v>
      </c>
      <c r="N139" s="3" t="s">
        <v>436</v>
      </c>
      <c r="O139" s="3" t="s">
        <v>35</v>
      </c>
      <c r="P139" s="3">
        <v>698.18</v>
      </c>
      <c r="Q139" s="3">
        <v>4</v>
      </c>
      <c r="R139" s="3">
        <v>37.46</v>
      </c>
      <c r="S139" s="3">
        <v>0.01</v>
      </c>
    </row>
    <row r="140" spans="8:19">
      <c r="H140" s="3" t="s">
        <v>437</v>
      </c>
      <c r="I140" s="25">
        <v>46000</v>
      </c>
      <c r="J140" s="3" t="s">
        <v>20</v>
      </c>
      <c r="K140" s="3" t="s">
        <v>21</v>
      </c>
      <c r="L140" s="3" t="s">
        <v>15</v>
      </c>
      <c r="M140" s="3" t="s">
        <v>438</v>
      </c>
      <c r="N140" s="3" t="s">
        <v>439</v>
      </c>
      <c r="O140" s="3" t="s">
        <v>18</v>
      </c>
      <c r="P140" s="3">
        <v>1296.6500000000001</v>
      </c>
      <c r="Q140" s="3">
        <v>5</v>
      </c>
      <c r="R140" s="3">
        <v>366.11</v>
      </c>
      <c r="S140" s="3">
        <v>0.18</v>
      </c>
    </row>
    <row r="141" spans="8:19">
      <c r="H141" s="3" t="s">
        <v>440</v>
      </c>
      <c r="I141" s="25">
        <v>45863</v>
      </c>
      <c r="J141" s="3" t="s">
        <v>28</v>
      </c>
      <c r="K141" s="3" t="s">
        <v>14</v>
      </c>
      <c r="L141" s="3" t="s">
        <v>15</v>
      </c>
      <c r="M141" s="3" t="s">
        <v>441</v>
      </c>
      <c r="N141" s="3" t="s">
        <v>442</v>
      </c>
      <c r="O141" s="3" t="s">
        <v>18</v>
      </c>
      <c r="P141" s="3">
        <v>217.83</v>
      </c>
      <c r="Q141" s="3">
        <v>2</v>
      </c>
      <c r="R141" s="3">
        <v>31.22</v>
      </c>
      <c r="S141" s="3">
        <v>0.16</v>
      </c>
    </row>
    <row r="142" spans="8:19">
      <c r="H142" s="3" t="s">
        <v>443</v>
      </c>
      <c r="I142" s="25">
        <v>45668</v>
      </c>
      <c r="J142" s="3" t="s">
        <v>28</v>
      </c>
      <c r="K142" s="3" t="s">
        <v>21</v>
      </c>
      <c r="L142" s="3" t="s">
        <v>15</v>
      </c>
      <c r="M142" s="3" t="s">
        <v>444</v>
      </c>
      <c r="N142" s="3" t="s">
        <v>445</v>
      </c>
      <c r="O142" s="3" t="s">
        <v>18</v>
      </c>
      <c r="P142" s="3">
        <v>1549.29</v>
      </c>
      <c r="Q142" s="3">
        <v>4</v>
      </c>
      <c r="R142" s="3">
        <v>380.37</v>
      </c>
      <c r="S142" s="3">
        <v>0.08</v>
      </c>
    </row>
    <row r="143" spans="8:19">
      <c r="H143" s="3" t="s">
        <v>446</v>
      </c>
      <c r="I143" s="25">
        <v>45710</v>
      </c>
      <c r="J143" s="3" t="s">
        <v>28</v>
      </c>
      <c r="K143" s="3" t="s">
        <v>21</v>
      </c>
      <c r="L143" s="3" t="s">
        <v>15</v>
      </c>
      <c r="M143" s="3" t="s">
        <v>447</v>
      </c>
      <c r="N143" s="3" t="s">
        <v>448</v>
      </c>
      <c r="O143" s="3" t="s">
        <v>35</v>
      </c>
      <c r="P143" s="3">
        <v>1545.09</v>
      </c>
      <c r="Q143" s="3">
        <v>5</v>
      </c>
      <c r="R143" s="3">
        <v>162.62</v>
      </c>
      <c r="S143" s="3">
        <v>0.28999999999999998</v>
      </c>
    </row>
    <row r="144" spans="8:19">
      <c r="H144" s="3" t="s">
        <v>449</v>
      </c>
      <c r="I144" s="25">
        <v>45671</v>
      </c>
      <c r="J144" s="3" t="s">
        <v>13</v>
      </c>
      <c r="K144" s="3" t="s">
        <v>14</v>
      </c>
      <c r="L144" s="3" t="s">
        <v>15</v>
      </c>
      <c r="M144" s="3" t="s">
        <v>450</v>
      </c>
      <c r="N144" s="3" t="s">
        <v>451</v>
      </c>
      <c r="O144" s="3" t="s">
        <v>39</v>
      </c>
      <c r="P144" s="3">
        <v>525.23</v>
      </c>
      <c r="Q144" s="3">
        <v>8</v>
      </c>
      <c r="R144" s="3">
        <v>114.32</v>
      </c>
      <c r="S144" s="3">
        <v>0.2</v>
      </c>
    </row>
    <row r="145" spans="8:19">
      <c r="H145" s="3" t="s">
        <v>452</v>
      </c>
      <c r="I145" s="25">
        <v>45784</v>
      </c>
      <c r="J145" s="3" t="s">
        <v>13</v>
      </c>
      <c r="K145" s="3" t="s">
        <v>21</v>
      </c>
      <c r="L145" s="3" t="s">
        <v>15</v>
      </c>
      <c r="M145" s="3" t="s">
        <v>453</v>
      </c>
      <c r="N145" s="3" t="s">
        <v>454</v>
      </c>
      <c r="O145" s="3" t="s">
        <v>18</v>
      </c>
      <c r="P145" s="3">
        <v>1506.95</v>
      </c>
      <c r="Q145" s="3">
        <v>4</v>
      </c>
      <c r="R145" s="3">
        <v>382.62</v>
      </c>
      <c r="S145" s="3">
        <v>0.06</v>
      </c>
    </row>
    <row r="146" spans="8:19">
      <c r="H146" s="3" t="s">
        <v>455</v>
      </c>
      <c r="I146" s="25">
        <v>45774</v>
      </c>
      <c r="J146" s="3" t="s">
        <v>13</v>
      </c>
      <c r="K146" s="3" t="s">
        <v>32</v>
      </c>
      <c r="L146" s="3" t="s">
        <v>15</v>
      </c>
      <c r="M146" s="3" t="s">
        <v>456</v>
      </c>
      <c r="N146" s="3" t="s">
        <v>457</v>
      </c>
      <c r="O146" s="3" t="s">
        <v>35</v>
      </c>
      <c r="P146" s="3">
        <v>484.68</v>
      </c>
      <c r="Q146" s="3">
        <v>8</v>
      </c>
      <c r="R146" s="3">
        <v>113.17</v>
      </c>
      <c r="S146" s="3">
        <v>0.22</v>
      </c>
    </row>
    <row r="147" spans="8:19">
      <c r="H147" s="3" t="s">
        <v>458</v>
      </c>
      <c r="I147" s="25">
        <v>45737</v>
      </c>
      <c r="J147" s="3" t="s">
        <v>20</v>
      </c>
      <c r="K147" s="3" t="s">
        <v>32</v>
      </c>
      <c r="L147" s="3" t="s">
        <v>15</v>
      </c>
      <c r="M147" s="3" t="s">
        <v>459</v>
      </c>
      <c r="N147" s="3" t="s">
        <v>460</v>
      </c>
      <c r="O147" s="3" t="s">
        <v>39</v>
      </c>
      <c r="P147" s="3">
        <v>1370</v>
      </c>
      <c r="Q147" s="3">
        <v>7</v>
      </c>
      <c r="R147" s="3">
        <v>498.57</v>
      </c>
      <c r="S147" s="3">
        <v>0.05</v>
      </c>
    </row>
    <row r="148" spans="8:19">
      <c r="H148" s="3" t="s">
        <v>461</v>
      </c>
      <c r="I148" s="25">
        <v>45889</v>
      </c>
      <c r="J148" s="3" t="s">
        <v>28</v>
      </c>
      <c r="K148" s="3" t="s">
        <v>21</v>
      </c>
      <c r="L148" s="3" t="s">
        <v>15</v>
      </c>
      <c r="M148" s="3" t="s">
        <v>462</v>
      </c>
      <c r="N148" s="3" t="s">
        <v>463</v>
      </c>
      <c r="O148" s="3" t="s">
        <v>39</v>
      </c>
      <c r="P148" s="3">
        <v>1420.96</v>
      </c>
      <c r="Q148" s="3">
        <v>4</v>
      </c>
      <c r="R148" s="3">
        <v>181.37</v>
      </c>
      <c r="S148" s="3">
        <v>0.02</v>
      </c>
    </row>
    <row r="149" spans="8:19">
      <c r="H149" s="3" t="s">
        <v>464</v>
      </c>
      <c r="I149" s="25">
        <v>45890</v>
      </c>
      <c r="J149" s="3" t="s">
        <v>28</v>
      </c>
      <c r="K149" s="3" t="s">
        <v>14</v>
      </c>
      <c r="L149" s="3" t="s">
        <v>15</v>
      </c>
      <c r="M149" s="3" t="s">
        <v>465</v>
      </c>
      <c r="N149" s="3" t="s">
        <v>466</v>
      </c>
      <c r="O149" s="3" t="s">
        <v>18</v>
      </c>
      <c r="P149" s="3">
        <v>409.38</v>
      </c>
      <c r="Q149" s="3">
        <v>3</v>
      </c>
      <c r="R149" s="3">
        <v>133.85</v>
      </c>
      <c r="S149" s="3">
        <v>0.2</v>
      </c>
    </row>
    <row r="150" spans="8:19">
      <c r="H150" s="3" t="s">
        <v>467</v>
      </c>
      <c r="I150" s="25">
        <v>45774</v>
      </c>
      <c r="J150" s="3" t="s">
        <v>28</v>
      </c>
      <c r="K150" s="3" t="s">
        <v>14</v>
      </c>
      <c r="L150" s="3" t="s">
        <v>15</v>
      </c>
      <c r="M150" s="3" t="s">
        <v>468</v>
      </c>
      <c r="N150" s="3" t="s">
        <v>469</v>
      </c>
      <c r="O150" s="3" t="s">
        <v>35</v>
      </c>
      <c r="P150" s="3">
        <v>236.34</v>
      </c>
      <c r="Q150" s="3">
        <v>9</v>
      </c>
      <c r="R150" s="3">
        <v>82.17</v>
      </c>
      <c r="S150" s="3">
        <v>0.23</v>
      </c>
    </row>
    <row r="151" spans="8:19">
      <c r="H151" s="3" t="s">
        <v>470</v>
      </c>
      <c r="I151" s="25">
        <v>45717</v>
      </c>
      <c r="J151" s="3" t="s">
        <v>28</v>
      </c>
      <c r="K151" s="3" t="s">
        <v>14</v>
      </c>
      <c r="L151" s="3" t="s">
        <v>15</v>
      </c>
      <c r="M151" s="3" t="s">
        <v>471</v>
      </c>
      <c r="N151" s="3" t="s">
        <v>472</v>
      </c>
      <c r="O151" s="3" t="s">
        <v>35</v>
      </c>
      <c r="P151" s="3">
        <v>720.75</v>
      </c>
      <c r="Q151" s="3">
        <v>7</v>
      </c>
      <c r="R151" s="3">
        <v>67.44</v>
      </c>
      <c r="S151" s="3">
        <v>0.27</v>
      </c>
    </row>
    <row r="152" spans="8:19">
      <c r="H152" s="3" t="s">
        <v>473</v>
      </c>
      <c r="I152" s="25">
        <v>45965</v>
      </c>
      <c r="J152" s="3" t="s">
        <v>20</v>
      </c>
      <c r="K152" s="3" t="s">
        <v>21</v>
      </c>
      <c r="L152" s="3" t="s">
        <v>15</v>
      </c>
      <c r="M152" s="3" t="s">
        <v>474</v>
      </c>
      <c r="N152" s="3" t="s">
        <v>475</v>
      </c>
      <c r="O152" s="3" t="s">
        <v>39</v>
      </c>
      <c r="P152" s="3">
        <v>1612.1</v>
      </c>
      <c r="Q152" s="3">
        <v>6</v>
      </c>
      <c r="R152" s="3">
        <v>520.71</v>
      </c>
      <c r="S152" s="3">
        <v>0.27</v>
      </c>
    </row>
    <row r="153" spans="8:19">
      <c r="H153" s="3" t="s">
        <v>476</v>
      </c>
      <c r="I153" s="25">
        <v>45675</v>
      </c>
      <c r="J153" s="3" t="s">
        <v>28</v>
      </c>
      <c r="K153" s="3" t="s">
        <v>14</v>
      </c>
      <c r="L153" s="3" t="s">
        <v>15</v>
      </c>
      <c r="M153" s="3" t="s">
        <v>477</v>
      </c>
      <c r="N153" s="3" t="s">
        <v>478</v>
      </c>
      <c r="O153" s="3" t="s">
        <v>39</v>
      </c>
      <c r="P153" s="3">
        <v>1973.56</v>
      </c>
      <c r="Q153" s="3">
        <v>9</v>
      </c>
      <c r="R153" s="3">
        <v>622.36</v>
      </c>
      <c r="S153" s="3">
        <v>7.0000000000000007E-2</v>
      </c>
    </row>
    <row r="154" spans="8:19">
      <c r="H154" s="3" t="s">
        <v>479</v>
      </c>
      <c r="I154" s="25">
        <v>45834</v>
      </c>
      <c r="J154" s="3" t="s">
        <v>20</v>
      </c>
      <c r="K154" s="3" t="s">
        <v>32</v>
      </c>
      <c r="L154" s="3" t="s">
        <v>15</v>
      </c>
      <c r="M154" s="3" t="s">
        <v>480</v>
      </c>
      <c r="N154" s="3" t="s">
        <v>481</v>
      </c>
      <c r="O154" s="3" t="s">
        <v>18</v>
      </c>
      <c r="P154" s="3">
        <v>1748.34</v>
      </c>
      <c r="Q154" s="3">
        <v>8</v>
      </c>
      <c r="R154" s="3">
        <v>612.09</v>
      </c>
      <c r="S154" s="3">
        <v>0.15</v>
      </c>
    </row>
    <row r="155" spans="8:19">
      <c r="H155" s="3" t="s">
        <v>482</v>
      </c>
      <c r="I155" s="25">
        <v>45749</v>
      </c>
      <c r="J155" s="3" t="s">
        <v>28</v>
      </c>
      <c r="K155" s="3" t="s">
        <v>21</v>
      </c>
      <c r="L155" s="3" t="s">
        <v>15</v>
      </c>
      <c r="M155" s="3" t="s">
        <v>483</v>
      </c>
      <c r="N155" s="3" t="s">
        <v>484</v>
      </c>
      <c r="O155" s="3" t="s">
        <v>35</v>
      </c>
      <c r="P155" s="3">
        <v>196.91</v>
      </c>
      <c r="Q155" s="3">
        <v>6</v>
      </c>
      <c r="R155" s="3">
        <v>71.84</v>
      </c>
      <c r="S155" s="3">
        <v>0.01</v>
      </c>
    </row>
    <row r="156" spans="8:19">
      <c r="H156" s="3" t="s">
        <v>485</v>
      </c>
      <c r="I156" s="25">
        <v>45713</v>
      </c>
      <c r="J156" s="3" t="s">
        <v>41</v>
      </c>
      <c r="K156" s="3" t="s">
        <v>32</v>
      </c>
      <c r="L156" s="3" t="s">
        <v>15</v>
      </c>
      <c r="M156" s="3" t="s">
        <v>486</v>
      </c>
      <c r="N156" s="3" t="s">
        <v>487</v>
      </c>
      <c r="O156" s="3" t="s">
        <v>18</v>
      </c>
      <c r="P156" s="3">
        <v>477.01</v>
      </c>
      <c r="Q156" s="3">
        <v>10</v>
      </c>
      <c r="R156" s="3">
        <v>46.89</v>
      </c>
      <c r="S156" s="3">
        <v>0.11</v>
      </c>
    </row>
    <row r="157" spans="8:19">
      <c r="H157" s="3" t="s">
        <v>488</v>
      </c>
      <c r="I157" s="25">
        <v>45862</v>
      </c>
      <c r="J157" s="3" t="s">
        <v>13</v>
      </c>
      <c r="K157" s="3" t="s">
        <v>21</v>
      </c>
      <c r="L157" s="3" t="s">
        <v>15</v>
      </c>
      <c r="M157" s="3" t="s">
        <v>489</v>
      </c>
      <c r="N157" s="3" t="s">
        <v>490</v>
      </c>
      <c r="O157" s="3" t="s">
        <v>18</v>
      </c>
      <c r="P157" s="3">
        <v>1607.01</v>
      </c>
      <c r="Q157" s="3">
        <v>8</v>
      </c>
      <c r="R157" s="3">
        <v>427.48</v>
      </c>
      <c r="S157" s="3">
        <v>0.13</v>
      </c>
    </row>
    <row r="158" spans="8:19">
      <c r="H158" s="3" t="s">
        <v>491</v>
      </c>
      <c r="I158" s="25">
        <v>45669</v>
      </c>
      <c r="J158" s="3" t="s">
        <v>41</v>
      </c>
      <c r="K158" s="3" t="s">
        <v>21</v>
      </c>
      <c r="L158" s="3" t="s">
        <v>15</v>
      </c>
      <c r="M158" s="3" t="s">
        <v>492</v>
      </c>
      <c r="N158" s="3" t="s">
        <v>493</v>
      </c>
      <c r="O158" s="3" t="s">
        <v>18</v>
      </c>
      <c r="P158" s="3">
        <v>1239.6500000000001</v>
      </c>
      <c r="Q158" s="3">
        <v>4</v>
      </c>
      <c r="R158" s="3">
        <v>133.94</v>
      </c>
      <c r="S158" s="3">
        <v>0.09</v>
      </c>
    </row>
    <row r="159" spans="8:19">
      <c r="H159" s="3" t="s">
        <v>494</v>
      </c>
      <c r="I159" s="25">
        <v>45894</v>
      </c>
      <c r="J159" s="3" t="s">
        <v>41</v>
      </c>
      <c r="K159" s="3" t="s">
        <v>14</v>
      </c>
      <c r="L159" s="3" t="s">
        <v>15</v>
      </c>
      <c r="M159" s="3" t="s">
        <v>495</v>
      </c>
      <c r="N159" s="3" t="s">
        <v>496</v>
      </c>
      <c r="O159" s="3" t="s">
        <v>18</v>
      </c>
      <c r="P159" s="3">
        <v>772.76</v>
      </c>
      <c r="Q159" s="3">
        <v>8</v>
      </c>
      <c r="R159" s="3">
        <v>281.89</v>
      </c>
      <c r="S159" s="3">
        <v>0.26</v>
      </c>
    </row>
    <row r="160" spans="8:19">
      <c r="H160" s="3" t="s">
        <v>497</v>
      </c>
      <c r="I160" s="25">
        <v>45744</v>
      </c>
      <c r="J160" s="3" t="s">
        <v>20</v>
      </c>
      <c r="K160" s="3" t="s">
        <v>21</v>
      </c>
      <c r="L160" s="3" t="s">
        <v>15</v>
      </c>
      <c r="M160" s="3" t="s">
        <v>498</v>
      </c>
      <c r="N160" s="3" t="s">
        <v>499</v>
      </c>
      <c r="O160" s="3" t="s">
        <v>39</v>
      </c>
      <c r="P160" s="3">
        <v>706.83</v>
      </c>
      <c r="Q160" s="3">
        <v>5</v>
      </c>
      <c r="R160" s="3">
        <v>65.959999999999994</v>
      </c>
      <c r="S160" s="3">
        <v>0.04</v>
      </c>
    </row>
    <row r="161" spans="8:19">
      <c r="H161" s="3" t="s">
        <v>500</v>
      </c>
      <c r="I161" s="25">
        <v>45742</v>
      </c>
      <c r="J161" s="3" t="s">
        <v>13</v>
      </c>
      <c r="K161" s="3" t="s">
        <v>21</v>
      </c>
      <c r="L161" s="3" t="s">
        <v>15</v>
      </c>
      <c r="M161" s="3" t="s">
        <v>501</v>
      </c>
      <c r="N161" s="3" t="s">
        <v>502</v>
      </c>
      <c r="O161" s="3" t="s">
        <v>35</v>
      </c>
      <c r="P161" s="3">
        <v>1361.45</v>
      </c>
      <c r="Q161" s="3">
        <v>8</v>
      </c>
      <c r="R161" s="3">
        <v>107.07</v>
      </c>
      <c r="S161" s="3">
        <v>0.1</v>
      </c>
    </row>
    <row r="162" spans="8:19">
      <c r="H162" s="3" t="s">
        <v>503</v>
      </c>
      <c r="I162" s="25">
        <v>45749</v>
      </c>
      <c r="J162" s="3" t="s">
        <v>28</v>
      </c>
      <c r="K162" s="3" t="s">
        <v>32</v>
      </c>
      <c r="L162" s="3" t="s">
        <v>15</v>
      </c>
      <c r="M162" s="3" t="s">
        <v>504</v>
      </c>
      <c r="N162" s="3" t="s">
        <v>505</v>
      </c>
      <c r="O162" s="3" t="s">
        <v>18</v>
      </c>
      <c r="P162" s="3">
        <v>1667.01</v>
      </c>
      <c r="Q162" s="3">
        <v>1</v>
      </c>
      <c r="R162" s="3">
        <v>481.7</v>
      </c>
      <c r="S162" s="3">
        <v>0.19</v>
      </c>
    </row>
    <row r="163" spans="8:19">
      <c r="H163" s="3" t="s">
        <v>506</v>
      </c>
      <c r="I163" s="25">
        <v>45953</v>
      </c>
      <c r="J163" s="3" t="s">
        <v>13</v>
      </c>
      <c r="K163" s="3" t="s">
        <v>32</v>
      </c>
      <c r="L163" s="3" t="s">
        <v>15</v>
      </c>
      <c r="M163" s="3" t="s">
        <v>507</v>
      </c>
      <c r="N163" s="3" t="s">
        <v>508</v>
      </c>
      <c r="O163" s="3" t="s">
        <v>39</v>
      </c>
      <c r="P163" s="3">
        <v>971.54</v>
      </c>
      <c r="Q163" s="3">
        <v>2</v>
      </c>
      <c r="R163" s="3">
        <v>299.31</v>
      </c>
      <c r="S163" s="3">
        <v>0.23</v>
      </c>
    </row>
    <row r="164" spans="8:19">
      <c r="H164" s="3" t="s">
        <v>509</v>
      </c>
      <c r="I164" s="25">
        <v>45891</v>
      </c>
      <c r="J164" s="3" t="s">
        <v>41</v>
      </c>
      <c r="K164" s="3" t="s">
        <v>32</v>
      </c>
      <c r="L164" s="3" t="s">
        <v>15</v>
      </c>
      <c r="M164" s="3" t="s">
        <v>510</v>
      </c>
      <c r="N164" s="3" t="s">
        <v>511</v>
      </c>
      <c r="O164" s="3" t="s">
        <v>18</v>
      </c>
      <c r="P164" s="3">
        <v>1801.25</v>
      </c>
      <c r="Q164" s="3">
        <v>10</v>
      </c>
      <c r="R164" s="3">
        <v>471.48</v>
      </c>
      <c r="S164" s="3">
        <v>0.26</v>
      </c>
    </row>
    <row r="165" spans="8:19">
      <c r="H165" s="3" t="s">
        <v>512</v>
      </c>
      <c r="I165" s="25">
        <v>45852</v>
      </c>
      <c r="J165" s="3" t="s">
        <v>20</v>
      </c>
      <c r="K165" s="3" t="s">
        <v>21</v>
      </c>
      <c r="L165" s="3" t="s">
        <v>15</v>
      </c>
      <c r="M165" s="3" t="s">
        <v>513</v>
      </c>
      <c r="N165" s="3" t="s">
        <v>514</v>
      </c>
      <c r="O165" s="3" t="s">
        <v>18</v>
      </c>
      <c r="P165" s="3">
        <v>607.11</v>
      </c>
      <c r="Q165" s="3">
        <v>7</v>
      </c>
      <c r="R165" s="3">
        <v>179.03</v>
      </c>
      <c r="S165" s="3">
        <v>0.22</v>
      </c>
    </row>
    <row r="166" spans="8:19">
      <c r="H166" s="3" t="s">
        <v>515</v>
      </c>
      <c r="I166" s="25">
        <v>46011</v>
      </c>
      <c r="J166" s="3" t="s">
        <v>41</v>
      </c>
      <c r="K166" s="3" t="s">
        <v>21</v>
      </c>
      <c r="L166" s="3" t="s">
        <v>15</v>
      </c>
      <c r="M166" s="3" t="s">
        <v>516</v>
      </c>
      <c r="N166" s="3" t="s">
        <v>517</v>
      </c>
      <c r="O166" s="3" t="s">
        <v>39</v>
      </c>
      <c r="P166" s="3">
        <v>738.23</v>
      </c>
      <c r="Q166" s="3">
        <v>1</v>
      </c>
      <c r="R166" s="3">
        <v>169.55</v>
      </c>
      <c r="S166" s="3">
        <v>0.13</v>
      </c>
    </row>
    <row r="167" spans="8:19">
      <c r="H167" s="3" t="s">
        <v>518</v>
      </c>
      <c r="I167" s="25">
        <v>45682</v>
      </c>
      <c r="J167" s="3" t="s">
        <v>13</v>
      </c>
      <c r="K167" s="3" t="s">
        <v>14</v>
      </c>
      <c r="L167" s="3" t="s">
        <v>15</v>
      </c>
      <c r="M167" s="3" t="s">
        <v>519</v>
      </c>
      <c r="N167" s="3" t="s">
        <v>520</v>
      </c>
      <c r="O167" s="3" t="s">
        <v>18</v>
      </c>
      <c r="P167" s="3">
        <v>316.64</v>
      </c>
      <c r="Q167" s="3">
        <v>9</v>
      </c>
      <c r="R167" s="3">
        <v>59.48</v>
      </c>
      <c r="S167" s="3">
        <v>0.2</v>
      </c>
    </row>
    <row r="168" spans="8:19">
      <c r="H168" s="3" t="s">
        <v>521</v>
      </c>
      <c r="I168" s="25">
        <v>45725</v>
      </c>
      <c r="J168" s="3" t="s">
        <v>13</v>
      </c>
      <c r="K168" s="3" t="s">
        <v>14</v>
      </c>
      <c r="L168" s="3" t="s">
        <v>15</v>
      </c>
      <c r="M168" s="3" t="s">
        <v>522</v>
      </c>
      <c r="N168" s="3" t="s">
        <v>523</v>
      </c>
      <c r="O168" s="3" t="s">
        <v>18</v>
      </c>
      <c r="P168" s="3">
        <v>754.84</v>
      </c>
      <c r="Q168" s="3">
        <v>1</v>
      </c>
      <c r="R168" s="3">
        <v>214.17</v>
      </c>
      <c r="S168" s="3">
        <v>0.22</v>
      </c>
    </row>
    <row r="169" spans="8:19">
      <c r="H169" s="3" t="s">
        <v>524</v>
      </c>
      <c r="I169" s="25">
        <v>46016</v>
      </c>
      <c r="J169" s="3" t="s">
        <v>28</v>
      </c>
      <c r="K169" s="3" t="s">
        <v>32</v>
      </c>
      <c r="L169" s="3" t="s">
        <v>15</v>
      </c>
      <c r="M169" s="3" t="s">
        <v>525</v>
      </c>
      <c r="N169" s="3" t="s">
        <v>526</v>
      </c>
      <c r="O169" s="3" t="s">
        <v>18</v>
      </c>
      <c r="P169" s="3">
        <v>885.94</v>
      </c>
      <c r="Q169" s="3">
        <v>3</v>
      </c>
      <c r="R169" s="3">
        <v>49.07</v>
      </c>
      <c r="S169" s="3">
        <v>0.1</v>
      </c>
    </row>
    <row r="170" spans="8:19">
      <c r="H170" s="3" t="s">
        <v>527</v>
      </c>
      <c r="I170" s="25">
        <v>45866</v>
      </c>
      <c r="J170" s="3" t="s">
        <v>28</v>
      </c>
      <c r="K170" s="3" t="s">
        <v>14</v>
      </c>
      <c r="L170" s="3" t="s">
        <v>15</v>
      </c>
      <c r="M170" s="3" t="s">
        <v>528</v>
      </c>
      <c r="N170" s="3" t="s">
        <v>529</v>
      </c>
      <c r="O170" s="3" t="s">
        <v>18</v>
      </c>
      <c r="P170" s="3">
        <v>941.43</v>
      </c>
      <c r="Q170" s="3">
        <v>1</v>
      </c>
      <c r="R170" s="3">
        <v>226.12</v>
      </c>
      <c r="S170" s="3">
        <v>0.22</v>
      </c>
    </row>
    <row r="171" spans="8:19">
      <c r="H171" s="3" t="s">
        <v>530</v>
      </c>
      <c r="I171" s="25">
        <v>45805</v>
      </c>
      <c r="J171" s="3" t="s">
        <v>20</v>
      </c>
      <c r="K171" s="3" t="s">
        <v>32</v>
      </c>
      <c r="L171" s="3" t="s">
        <v>15</v>
      </c>
      <c r="M171" s="3" t="s">
        <v>531</v>
      </c>
      <c r="N171" s="3" t="s">
        <v>532</v>
      </c>
      <c r="O171" s="3" t="s">
        <v>35</v>
      </c>
      <c r="P171" s="3">
        <v>1704.17</v>
      </c>
      <c r="Q171" s="3">
        <v>6</v>
      </c>
      <c r="R171" s="3">
        <v>545.87</v>
      </c>
      <c r="S171" s="3">
        <v>0.1</v>
      </c>
    </row>
    <row r="172" spans="8:19">
      <c r="H172" s="3" t="s">
        <v>533</v>
      </c>
      <c r="I172" s="25">
        <v>45904</v>
      </c>
      <c r="J172" s="3" t="s">
        <v>28</v>
      </c>
      <c r="K172" s="3" t="s">
        <v>14</v>
      </c>
      <c r="L172" s="3" t="s">
        <v>15</v>
      </c>
      <c r="M172" s="3" t="s">
        <v>534</v>
      </c>
      <c r="N172" s="3" t="s">
        <v>535</v>
      </c>
      <c r="O172" s="3" t="s">
        <v>35</v>
      </c>
      <c r="P172" s="3">
        <v>383.41</v>
      </c>
      <c r="Q172" s="3">
        <v>4</v>
      </c>
      <c r="R172" s="3">
        <v>100.68</v>
      </c>
      <c r="S172" s="3">
        <v>0.09</v>
      </c>
    </row>
    <row r="173" spans="8:19">
      <c r="H173" s="3" t="s">
        <v>536</v>
      </c>
      <c r="I173" s="25">
        <v>45847</v>
      </c>
      <c r="J173" s="3" t="s">
        <v>28</v>
      </c>
      <c r="K173" s="3" t="s">
        <v>32</v>
      </c>
      <c r="L173" s="3" t="s">
        <v>15</v>
      </c>
      <c r="M173" s="3" t="s">
        <v>537</v>
      </c>
      <c r="N173" s="3" t="s">
        <v>538</v>
      </c>
      <c r="O173" s="3" t="s">
        <v>39</v>
      </c>
      <c r="P173" s="3">
        <v>1416.98</v>
      </c>
      <c r="Q173" s="3">
        <v>8</v>
      </c>
      <c r="R173" s="3">
        <v>360.68</v>
      </c>
      <c r="S173" s="3">
        <v>7.0000000000000007E-2</v>
      </c>
    </row>
    <row r="174" spans="8:19">
      <c r="H174" s="3" t="s">
        <v>539</v>
      </c>
      <c r="I174" s="25">
        <v>45972</v>
      </c>
      <c r="J174" s="3" t="s">
        <v>13</v>
      </c>
      <c r="K174" s="3" t="s">
        <v>21</v>
      </c>
      <c r="L174" s="3" t="s">
        <v>15</v>
      </c>
      <c r="M174" s="3" t="s">
        <v>540</v>
      </c>
      <c r="N174" s="3" t="s">
        <v>541</v>
      </c>
      <c r="O174" s="3" t="s">
        <v>18</v>
      </c>
      <c r="P174" s="3">
        <v>1914.54</v>
      </c>
      <c r="Q174" s="3">
        <v>8</v>
      </c>
      <c r="R174" s="3">
        <v>192.01</v>
      </c>
      <c r="S174" s="3">
        <v>0.08</v>
      </c>
    </row>
    <row r="175" spans="8:19">
      <c r="H175" s="3" t="s">
        <v>542</v>
      </c>
      <c r="I175" s="25">
        <v>45681</v>
      </c>
      <c r="J175" s="3" t="s">
        <v>20</v>
      </c>
      <c r="K175" s="3" t="s">
        <v>32</v>
      </c>
      <c r="L175" s="3" t="s">
        <v>15</v>
      </c>
      <c r="M175" s="3" t="s">
        <v>543</v>
      </c>
      <c r="N175" s="3" t="s">
        <v>544</v>
      </c>
      <c r="O175" s="3" t="s">
        <v>18</v>
      </c>
      <c r="P175" s="3">
        <v>297.25</v>
      </c>
      <c r="Q175" s="3">
        <v>2</v>
      </c>
      <c r="R175" s="3">
        <v>48.22</v>
      </c>
      <c r="S175" s="3">
        <v>0.02</v>
      </c>
    </row>
    <row r="176" spans="8:19">
      <c r="H176" s="3" t="s">
        <v>545</v>
      </c>
      <c r="I176" s="25">
        <v>46007</v>
      </c>
      <c r="J176" s="3" t="s">
        <v>20</v>
      </c>
      <c r="K176" s="3" t="s">
        <v>14</v>
      </c>
      <c r="L176" s="3" t="s">
        <v>15</v>
      </c>
      <c r="M176" s="3" t="s">
        <v>546</v>
      </c>
      <c r="N176" s="3" t="s">
        <v>547</v>
      </c>
      <c r="O176" s="3" t="s">
        <v>18</v>
      </c>
      <c r="P176" s="3">
        <v>1040.8</v>
      </c>
      <c r="Q176" s="3">
        <v>3</v>
      </c>
      <c r="R176" s="3">
        <v>75.16</v>
      </c>
      <c r="S176" s="3">
        <v>0.15</v>
      </c>
    </row>
    <row r="177" spans="8:19">
      <c r="H177" s="3" t="s">
        <v>548</v>
      </c>
      <c r="I177" s="25">
        <v>45949</v>
      </c>
      <c r="J177" s="3" t="s">
        <v>28</v>
      </c>
      <c r="K177" s="3" t="s">
        <v>21</v>
      </c>
      <c r="L177" s="3" t="s">
        <v>15</v>
      </c>
      <c r="M177" s="3" t="s">
        <v>549</v>
      </c>
      <c r="N177" s="3" t="s">
        <v>550</v>
      </c>
      <c r="O177" s="3" t="s">
        <v>18</v>
      </c>
      <c r="P177" s="3">
        <v>1531.51</v>
      </c>
      <c r="Q177" s="3">
        <v>10</v>
      </c>
      <c r="R177" s="3">
        <v>580.32000000000005</v>
      </c>
      <c r="S177" s="3">
        <v>0.3</v>
      </c>
    </row>
    <row r="178" spans="8:19">
      <c r="H178" s="3" t="s">
        <v>551</v>
      </c>
      <c r="I178" s="25">
        <v>45978</v>
      </c>
      <c r="J178" s="3" t="s">
        <v>41</v>
      </c>
      <c r="K178" s="3" t="s">
        <v>14</v>
      </c>
      <c r="L178" s="3" t="s">
        <v>15</v>
      </c>
      <c r="M178" s="3" t="s">
        <v>552</v>
      </c>
      <c r="N178" s="3" t="s">
        <v>553</v>
      </c>
      <c r="O178" s="3" t="s">
        <v>18</v>
      </c>
      <c r="P178" s="3">
        <v>1451.63</v>
      </c>
      <c r="Q178" s="3">
        <v>9</v>
      </c>
      <c r="R178" s="3">
        <v>546.85</v>
      </c>
      <c r="S178" s="3">
        <v>0.1</v>
      </c>
    </row>
    <row r="179" spans="8:19">
      <c r="H179" s="3" t="s">
        <v>554</v>
      </c>
      <c r="I179" s="25">
        <v>45951</v>
      </c>
      <c r="J179" s="3" t="s">
        <v>20</v>
      </c>
      <c r="K179" s="3" t="s">
        <v>32</v>
      </c>
      <c r="L179" s="3" t="s">
        <v>15</v>
      </c>
      <c r="M179" s="3" t="s">
        <v>555</v>
      </c>
      <c r="N179" s="3" t="s">
        <v>556</v>
      </c>
      <c r="O179" s="3" t="s">
        <v>18</v>
      </c>
      <c r="P179" s="3">
        <v>1513.83</v>
      </c>
      <c r="Q179" s="3">
        <v>10</v>
      </c>
      <c r="R179" s="3">
        <v>365.61</v>
      </c>
      <c r="S179" s="3">
        <v>0.22</v>
      </c>
    </row>
    <row r="180" spans="8:19">
      <c r="H180" s="3" t="s">
        <v>557</v>
      </c>
      <c r="I180" s="25">
        <v>45800</v>
      </c>
      <c r="J180" s="3" t="s">
        <v>13</v>
      </c>
      <c r="K180" s="3" t="s">
        <v>14</v>
      </c>
      <c r="L180" s="3" t="s">
        <v>15</v>
      </c>
      <c r="M180" s="3" t="s">
        <v>558</v>
      </c>
      <c r="N180" s="3" t="s">
        <v>559</v>
      </c>
      <c r="O180" s="3" t="s">
        <v>35</v>
      </c>
      <c r="P180" s="3">
        <v>217.44</v>
      </c>
      <c r="Q180" s="3">
        <v>2</v>
      </c>
      <c r="R180" s="3">
        <v>85.65</v>
      </c>
      <c r="S180" s="3">
        <v>0.2</v>
      </c>
    </row>
    <row r="181" spans="8:19">
      <c r="H181" s="3" t="s">
        <v>560</v>
      </c>
      <c r="I181" s="25">
        <v>45701</v>
      </c>
      <c r="J181" s="3" t="s">
        <v>20</v>
      </c>
      <c r="K181" s="3" t="s">
        <v>32</v>
      </c>
      <c r="L181" s="3" t="s">
        <v>15</v>
      </c>
      <c r="M181" s="3" t="s">
        <v>561</v>
      </c>
      <c r="N181" s="3" t="s">
        <v>562</v>
      </c>
      <c r="O181" s="3" t="s">
        <v>18</v>
      </c>
      <c r="P181" s="3">
        <v>561.39</v>
      </c>
      <c r="Q181" s="3">
        <v>7</v>
      </c>
      <c r="R181" s="3">
        <v>79.23</v>
      </c>
      <c r="S181" s="3">
        <v>0.06</v>
      </c>
    </row>
    <row r="182" spans="8:19">
      <c r="H182" s="3" t="s">
        <v>563</v>
      </c>
      <c r="I182" s="25">
        <v>45969</v>
      </c>
      <c r="J182" s="3" t="s">
        <v>13</v>
      </c>
      <c r="K182" s="3" t="s">
        <v>32</v>
      </c>
      <c r="L182" s="3" t="s">
        <v>15</v>
      </c>
      <c r="M182" s="3" t="s">
        <v>564</v>
      </c>
      <c r="N182" s="3" t="s">
        <v>565</v>
      </c>
      <c r="O182" s="3" t="s">
        <v>18</v>
      </c>
      <c r="P182" s="3">
        <v>276.75</v>
      </c>
      <c r="Q182" s="3">
        <v>7</v>
      </c>
      <c r="R182" s="3">
        <v>107.47</v>
      </c>
      <c r="S182" s="3">
        <v>0.27</v>
      </c>
    </row>
    <row r="183" spans="8:19">
      <c r="H183" s="3" t="s">
        <v>566</v>
      </c>
      <c r="I183" s="25">
        <v>45850</v>
      </c>
      <c r="J183" s="3" t="s">
        <v>13</v>
      </c>
      <c r="K183" s="3" t="s">
        <v>21</v>
      </c>
      <c r="L183" s="3" t="s">
        <v>15</v>
      </c>
      <c r="M183" s="3" t="s">
        <v>567</v>
      </c>
      <c r="N183" s="3" t="s">
        <v>568</v>
      </c>
      <c r="O183" s="3" t="s">
        <v>39</v>
      </c>
      <c r="P183" s="3">
        <v>154.88999999999999</v>
      </c>
      <c r="Q183" s="3">
        <v>6</v>
      </c>
      <c r="R183" s="3">
        <v>47.4</v>
      </c>
      <c r="S183" s="3">
        <v>0.09</v>
      </c>
    </row>
    <row r="184" spans="8:19">
      <c r="H184" s="3" t="s">
        <v>569</v>
      </c>
      <c r="I184" s="25">
        <v>46005</v>
      </c>
      <c r="J184" s="3" t="s">
        <v>41</v>
      </c>
      <c r="K184" s="3" t="s">
        <v>32</v>
      </c>
      <c r="L184" s="3" t="s">
        <v>15</v>
      </c>
      <c r="M184" s="3" t="s">
        <v>570</v>
      </c>
      <c r="N184" s="3" t="s">
        <v>571</v>
      </c>
      <c r="O184" s="3" t="s">
        <v>18</v>
      </c>
      <c r="P184" s="3">
        <v>945.07</v>
      </c>
      <c r="Q184" s="3">
        <v>6</v>
      </c>
      <c r="R184" s="3">
        <v>238.54</v>
      </c>
      <c r="S184" s="3">
        <v>0.02</v>
      </c>
    </row>
    <row r="185" spans="8:19">
      <c r="H185" s="3" t="s">
        <v>572</v>
      </c>
      <c r="I185" s="25">
        <v>45895</v>
      </c>
      <c r="J185" s="3" t="s">
        <v>20</v>
      </c>
      <c r="K185" s="3" t="s">
        <v>32</v>
      </c>
      <c r="L185" s="3" t="s">
        <v>15</v>
      </c>
      <c r="M185" s="3" t="s">
        <v>573</v>
      </c>
      <c r="N185" s="3" t="s">
        <v>574</v>
      </c>
      <c r="O185" s="3" t="s">
        <v>39</v>
      </c>
      <c r="P185" s="3">
        <v>491.92</v>
      </c>
      <c r="Q185" s="3">
        <v>6</v>
      </c>
      <c r="R185" s="3">
        <v>72.48</v>
      </c>
      <c r="S185" s="3">
        <v>0.15</v>
      </c>
    </row>
    <row r="186" spans="8:19">
      <c r="H186" s="3" t="s">
        <v>575</v>
      </c>
      <c r="I186" s="25">
        <v>45844</v>
      </c>
      <c r="J186" s="3" t="s">
        <v>20</v>
      </c>
      <c r="K186" s="3" t="s">
        <v>21</v>
      </c>
      <c r="L186" s="3" t="s">
        <v>15</v>
      </c>
      <c r="M186" s="3" t="s">
        <v>576</v>
      </c>
      <c r="N186" s="3" t="s">
        <v>577</v>
      </c>
      <c r="O186" s="3" t="s">
        <v>39</v>
      </c>
      <c r="P186" s="3">
        <v>1364.05</v>
      </c>
      <c r="Q186" s="3">
        <v>8</v>
      </c>
      <c r="R186" s="3">
        <v>509.56</v>
      </c>
      <c r="S186" s="3">
        <v>0.18</v>
      </c>
    </row>
    <row r="187" spans="8:19">
      <c r="H187" s="3" t="s">
        <v>578</v>
      </c>
      <c r="I187" s="25">
        <v>45753</v>
      </c>
      <c r="J187" s="3" t="s">
        <v>28</v>
      </c>
      <c r="K187" s="3" t="s">
        <v>14</v>
      </c>
      <c r="L187" s="3" t="s">
        <v>15</v>
      </c>
      <c r="M187" s="3" t="s">
        <v>579</v>
      </c>
      <c r="N187" s="3" t="s">
        <v>580</v>
      </c>
      <c r="O187" s="3" t="s">
        <v>35</v>
      </c>
      <c r="P187" s="3">
        <v>1881.53</v>
      </c>
      <c r="Q187" s="3">
        <v>4</v>
      </c>
      <c r="R187" s="3">
        <v>711.79</v>
      </c>
      <c r="S187" s="3">
        <v>0.18</v>
      </c>
    </row>
    <row r="188" spans="8:19">
      <c r="H188" s="3" t="s">
        <v>581</v>
      </c>
      <c r="I188" s="25">
        <v>45886</v>
      </c>
      <c r="J188" s="3" t="s">
        <v>28</v>
      </c>
      <c r="K188" s="3" t="s">
        <v>32</v>
      </c>
      <c r="L188" s="3" t="s">
        <v>15</v>
      </c>
      <c r="M188" s="3" t="s">
        <v>582</v>
      </c>
      <c r="N188" s="3" t="s">
        <v>583</v>
      </c>
      <c r="O188" s="3" t="s">
        <v>35</v>
      </c>
      <c r="P188" s="3">
        <v>217.73</v>
      </c>
      <c r="Q188" s="3">
        <v>4</v>
      </c>
      <c r="R188" s="3">
        <v>41.55</v>
      </c>
      <c r="S188" s="3">
        <v>0.06</v>
      </c>
    </row>
    <row r="189" spans="8:19">
      <c r="H189" s="3" t="s">
        <v>584</v>
      </c>
      <c r="I189" s="25">
        <v>45720</v>
      </c>
      <c r="J189" s="3" t="s">
        <v>13</v>
      </c>
      <c r="K189" s="3" t="s">
        <v>21</v>
      </c>
      <c r="L189" s="3" t="s">
        <v>15</v>
      </c>
      <c r="M189" s="3" t="s">
        <v>585</v>
      </c>
      <c r="N189" s="3" t="s">
        <v>586</v>
      </c>
      <c r="O189" s="3" t="s">
        <v>35</v>
      </c>
      <c r="P189" s="3">
        <v>476.3</v>
      </c>
      <c r="Q189" s="3">
        <v>6</v>
      </c>
      <c r="R189" s="3">
        <v>123.18</v>
      </c>
      <c r="S189" s="3">
        <v>0.02</v>
      </c>
    </row>
    <row r="190" spans="8:19">
      <c r="H190" s="3" t="s">
        <v>587</v>
      </c>
      <c r="I190" s="25">
        <v>45916</v>
      </c>
      <c r="J190" s="3" t="s">
        <v>28</v>
      </c>
      <c r="K190" s="3" t="s">
        <v>21</v>
      </c>
      <c r="L190" s="3" t="s">
        <v>15</v>
      </c>
      <c r="M190" s="3" t="s">
        <v>588</v>
      </c>
      <c r="N190" s="3" t="s">
        <v>589</v>
      </c>
      <c r="O190" s="3" t="s">
        <v>39</v>
      </c>
      <c r="P190" s="3">
        <v>1444.3</v>
      </c>
      <c r="Q190" s="3">
        <v>2</v>
      </c>
      <c r="R190" s="3">
        <v>543.33000000000004</v>
      </c>
      <c r="S190" s="3">
        <v>0.11</v>
      </c>
    </row>
    <row r="191" spans="8:19">
      <c r="H191" s="3" t="s">
        <v>590</v>
      </c>
      <c r="I191" s="25">
        <v>45762</v>
      </c>
      <c r="J191" s="3" t="s">
        <v>28</v>
      </c>
      <c r="K191" s="3" t="s">
        <v>21</v>
      </c>
      <c r="L191" s="3" t="s">
        <v>15</v>
      </c>
      <c r="M191" s="3" t="s">
        <v>591</v>
      </c>
      <c r="N191" s="3" t="s">
        <v>592</v>
      </c>
      <c r="O191" s="3" t="s">
        <v>39</v>
      </c>
      <c r="P191" s="3">
        <v>1133.18</v>
      </c>
      <c r="Q191" s="3">
        <v>3</v>
      </c>
      <c r="R191" s="3">
        <v>349.23</v>
      </c>
      <c r="S191" s="3">
        <v>0.2</v>
      </c>
    </row>
    <row r="192" spans="8:19">
      <c r="H192" s="3" t="s">
        <v>593</v>
      </c>
      <c r="I192" s="25">
        <v>45885</v>
      </c>
      <c r="J192" s="3" t="s">
        <v>28</v>
      </c>
      <c r="K192" s="3" t="s">
        <v>32</v>
      </c>
      <c r="L192" s="3" t="s">
        <v>15</v>
      </c>
      <c r="M192" s="3" t="s">
        <v>594</v>
      </c>
      <c r="N192" s="3" t="s">
        <v>595</v>
      </c>
      <c r="O192" s="3" t="s">
        <v>35</v>
      </c>
      <c r="P192" s="3">
        <v>1847.85</v>
      </c>
      <c r="Q192" s="3">
        <v>5</v>
      </c>
      <c r="R192" s="3">
        <v>718.83</v>
      </c>
      <c r="S192" s="3">
        <v>0.2</v>
      </c>
    </row>
    <row r="193" spans="8:19">
      <c r="H193" s="3" t="s">
        <v>596</v>
      </c>
      <c r="I193" s="25">
        <v>45839</v>
      </c>
      <c r="J193" s="3" t="s">
        <v>20</v>
      </c>
      <c r="K193" s="3" t="s">
        <v>21</v>
      </c>
      <c r="L193" s="3" t="s">
        <v>15</v>
      </c>
      <c r="M193" s="3" t="s">
        <v>597</v>
      </c>
      <c r="N193" s="3" t="s">
        <v>598</v>
      </c>
      <c r="O193" s="3" t="s">
        <v>35</v>
      </c>
      <c r="P193" s="3">
        <v>1865.82</v>
      </c>
      <c r="Q193" s="3">
        <v>2</v>
      </c>
      <c r="R193" s="3">
        <v>137.66</v>
      </c>
      <c r="S193" s="3">
        <v>0.14000000000000001</v>
      </c>
    </row>
    <row r="194" spans="8:19">
      <c r="H194" s="3" t="s">
        <v>599</v>
      </c>
      <c r="I194" s="25">
        <v>45716</v>
      </c>
      <c r="J194" s="3" t="s">
        <v>20</v>
      </c>
      <c r="K194" s="3" t="s">
        <v>21</v>
      </c>
      <c r="L194" s="3" t="s">
        <v>15</v>
      </c>
      <c r="M194" s="3" t="s">
        <v>600</v>
      </c>
      <c r="N194" s="3" t="s">
        <v>601</v>
      </c>
      <c r="O194" s="3" t="s">
        <v>18</v>
      </c>
      <c r="P194" s="3">
        <v>748.41</v>
      </c>
      <c r="Q194" s="3">
        <v>3</v>
      </c>
      <c r="R194" s="3">
        <v>50.82</v>
      </c>
      <c r="S194" s="3">
        <v>0.1</v>
      </c>
    </row>
    <row r="195" spans="8:19">
      <c r="H195" s="3" t="s">
        <v>602</v>
      </c>
      <c r="I195" s="25">
        <v>45896</v>
      </c>
      <c r="J195" s="3" t="s">
        <v>41</v>
      </c>
      <c r="K195" s="3" t="s">
        <v>32</v>
      </c>
      <c r="L195" s="3" t="s">
        <v>15</v>
      </c>
      <c r="M195" s="3" t="s">
        <v>603</v>
      </c>
      <c r="N195" s="3" t="s">
        <v>604</v>
      </c>
      <c r="O195" s="3" t="s">
        <v>18</v>
      </c>
      <c r="P195" s="3">
        <v>534.6</v>
      </c>
      <c r="Q195" s="3">
        <v>2</v>
      </c>
      <c r="R195" s="3">
        <v>123.46</v>
      </c>
      <c r="S195" s="3">
        <v>0.06</v>
      </c>
    </row>
    <row r="196" spans="8:19">
      <c r="H196" s="3" t="s">
        <v>605</v>
      </c>
      <c r="I196" s="25">
        <v>45741</v>
      </c>
      <c r="J196" s="3" t="s">
        <v>13</v>
      </c>
      <c r="K196" s="3" t="s">
        <v>14</v>
      </c>
      <c r="L196" s="3" t="s">
        <v>15</v>
      </c>
      <c r="M196" s="3" t="s">
        <v>606</v>
      </c>
      <c r="N196" s="3" t="s">
        <v>607</v>
      </c>
      <c r="O196" s="3" t="s">
        <v>18</v>
      </c>
      <c r="P196" s="3">
        <v>548.76</v>
      </c>
      <c r="Q196" s="3">
        <v>9</v>
      </c>
      <c r="R196" s="3">
        <v>148.41999999999999</v>
      </c>
      <c r="S196" s="3">
        <v>0.15</v>
      </c>
    </row>
    <row r="197" spans="8:19">
      <c r="H197" s="3" t="s">
        <v>608</v>
      </c>
      <c r="I197" s="25">
        <v>45920</v>
      </c>
      <c r="J197" s="3" t="s">
        <v>20</v>
      </c>
      <c r="K197" s="3" t="s">
        <v>14</v>
      </c>
      <c r="L197" s="3" t="s">
        <v>15</v>
      </c>
      <c r="M197" s="3" t="s">
        <v>609</v>
      </c>
      <c r="N197" s="3" t="s">
        <v>610</v>
      </c>
      <c r="O197" s="3" t="s">
        <v>18</v>
      </c>
      <c r="P197" s="3">
        <v>542.97</v>
      </c>
      <c r="Q197" s="3">
        <v>10</v>
      </c>
      <c r="R197" s="3">
        <v>99.45</v>
      </c>
      <c r="S197" s="3">
        <v>0.3</v>
      </c>
    </row>
    <row r="198" spans="8:19">
      <c r="H198" s="3" t="s">
        <v>611</v>
      </c>
      <c r="I198" s="25">
        <v>45967</v>
      </c>
      <c r="J198" s="3" t="s">
        <v>13</v>
      </c>
      <c r="K198" s="3" t="s">
        <v>21</v>
      </c>
      <c r="L198" s="3" t="s">
        <v>15</v>
      </c>
      <c r="M198" s="3" t="s">
        <v>612</v>
      </c>
      <c r="N198" s="3" t="s">
        <v>613</v>
      </c>
      <c r="O198" s="3" t="s">
        <v>39</v>
      </c>
      <c r="P198" s="3">
        <v>1771.2</v>
      </c>
      <c r="Q198" s="3">
        <v>6</v>
      </c>
      <c r="R198" s="3">
        <v>430.56</v>
      </c>
      <c r="S198" s="3">
        <v>0.22</v>
      </c>
    </row>
    <row r="199" spans="8:19">
      <c r="H199" s="3" t="s">
        <v>614</v>
      </c>
      <c r="I199" s="25">
        <v>45815</v>
      </c>
      <c r="J199" s="3" t="s">
        <v>41</v>
      </c>
      <c r="K199" s="3" t="s">
        <v>14</v>
      </c>
      <c r="L199" s="3" t="s">
        <v>15</v>
      </c>
      <c r="M199" s="3" t="s">
        <v>615</v>
      </c>
      <c r="N199" s="3" t="s">
        <v>616</v>
      </c>
      <c r="O199" s="3" t="s">
        <v>39</v>
      </c>
      <c r="P199" s="3">
        <v>1652.21</v>
      </c>
      <c r="Q199" s="3">
        <v>2</v>
      </c>
      <c r="R199" s="3">
        <v>491.85</v>
      </c>
      <c r="S199" s="3">
        <v>0.19</v>
      </c>
    </row>
    <row r="200" spans="8:19">
      <c r="H200" s="3" t="s">
        <v>617</v>
      </c>
      <c r="I200" s="25">
        <v>45866</v>
      </c>
      <c r="J200" s="3" t="s">
        <v>28</v>
      </c>
      <c r="K200" s="3" t="s">
        <v>21</v>
      </c>
      <c r="L200" s="3" t="s">
        <v>15</v>
      </c>
      <c r="M200" s="3" t="s">
        <v>618</v>
      </c>
      <c r="N200" s="3" t="s">
        <v>619</v>
      </c>
      <c r="O200" s="3" t="s">
        <v>35</v>
      </c>
      <c r="P200" s="3">
        <v>1373.66</v>
      </c>
      <c r="Q200" s="3">
        <v>3</v>
      </c>
      <c r="R200" s="3">
        <v>520.6</v>
      </c>
      <c r="S200" s="3">
        <v>0.3</v>
      </c>
    </row>
    <row r="201" spans="8:19">
      <c r="H201" s="3" t="s">
        <v>620</v>
      </c>
      <c r="I201" s="25">
        <v>45934</v>
      </c>
      <c r="J201" s="3" t="s">
        <v>41</v>
      </c>
      <c r="K201" s="3" t="s">
        <v>21</v>
      </c>
      <c r="L201" s="3" t="s">
        <v>15</v>
      </c>
      <c r="M201" s="3" t="s">
        <v>621</v>
      </c>
      <c r="N201" s="3" t="s">
        <v>622</v>
      </c>
      <c r="O201" s="3" t="s">
        <v>35</v>
      </c>
      <c r="P201" s="3">
        <v>549.12</v>
      </c>
      <c r="Q201" s="3">
        <v>6</v>
      </c>
      <c r="R201" s="3">
        <v>195.19</v>
      </c>
      <c r="S201" s="3">
        <v>7.0000000000000007E-2</v>
      </c>
    </row>
    <row r="202" spans="8:19">
      <c r="H202" s="3" t="s">
        <v>623</v>
      </c>
      <c r="I202" s="25">
        <v>45951</v>
      </c>
      <c r="J202" s="3" t="s">
        <v>28</v>
      </c>
      <c r="K202" s="3" t="s">
        <v>21</v>
      </c>
      <c r="L202" s="3" t="s">
        <v>15</v>
      </c>
      <c r="M202" s="3" t="s">
        <v>624</v>
      </c>
      <c r="N202" s="3" t="s">
        <v>625</v>
      </c>
      <c r="O202" s="3" t="s">
        <v>18</v>
      </c>
      <c r="P202" s="3">
        <v>857.24</v>
      </c>
      <c r="Q202" s="3">
        <v>4</v>
      </c>
      <c r="R202" s="3">
        <v>199.66</v>
      </c>
      <c r="S202" s="3">
        <v>0.27</v>
      </c>
    </row>
    <row r="203" spans="8:19">
      <c r="H203" s="3" t="s">
        <v>626</v>
      </c>
      <c r="I203" s="25">
        <v>45877</v>
      </c>
      <c r="J203" s="3" t="s">
        <v>20</v>
      </c>
      <c r="K203" s="3" t="s">
        <v>14</v>
      </c>
      <c r="L203" s="3" t="s">
        <v>15</v>
      </c>
      <c r="M203" s="3" t="s">
        <v>627</v>
      </c>
      <c r="N203" s="3" t="s">
        <v>628</v>
      </c>
      <c r="O203" s="3" t="s">
        <v>18</v>
      </c>
      <c r="P203" s="3">
        <v>720.32</v>
      </c>
      <c r="Q203" s="3">
        <v>3</v>
      </c>
      <c r="R203" s="3">
        <v>85.94</v>
      </c>
      <c r="S203" s="3">
        <v>0.03</v>
      </c>
    </row>
    <row r="204" spans="8:19">
      <c r="H204" s="3" t="s">
        <v>629</v>
      </c>
      <c r="I204" s="25">
        <v>45884</v>
      </c>
      <c r="J204" s="3" t="s">
        <v>28</v>
      </c>
      <c r="K204" s="3" t="s">
        <v>32</v>
      </c>
      <c r="L204" s="3" t="s">
        <v>15</v>
      </c>
      <c r="M204" s="3" t="s">
        <v>630</v>
      </c>
      <c r="N204" s="3" t="s">
        <v>631</v>
      </c>
      <c r="O204" s="3" t="s">
        <v>39</v>
      </c>
      <c r="P204" s="3">
        <v>184</v>
      </c>
      <c r="Q204" s="3">
        <v>3</v>
      </c>
      <c r="R204" s="3">
        <v>35.85</v>
      </c>
      <c r="S204" s="3">
        <v>0.28000000000000003</v>
      </c>
    </row>
    <row r="205" spans="8:19">
      <c r="H205" s="3" t="s">
        <v>632</v>
      </c>
      <c r="I205" s="25">
        <v>45982</v>
      </c>
      <c r="J205" s="3" t="s">
        <v>41</v>
      </c>
      <c r="K205" s="3" t="s">
        <v>32</v>
      </c>
      <c r="L205" s="3" t="s">
        <v>15</v>
      </c>
      <c r="M205" s="3" t="s">
        <v>633</v>
      </c>
      <c r="N205" s="3" t="s">
        <v>634</v>
      </c>
      <c r="O205" s="3" t="s">
        <v>39</v>
      </c>
      <c r="P205" s="3">
        <v>752.32</v>
      </c>
      <c r="Q205" s="3">
        <v>7</v>
      </c>
      <c r="R205" s="3">
        <v>226.46</v>
      </c>
      <c r="S205" s="3">
        <v>0.02</v>
      </c>
    </row>
    <row r="206" spans="8:19">
      <c r="H206" s="3" t="s">
        <v>635</v>
      </c>
      <c r="I206" s="25">
        <v>45730</v>
      </c>
      <c r="J206" s="3" t="s">
        <v>20</v>
      </c>
      <c r="K206" s="3" t="s">
        <v>32</v>
      </c>
      <c r="L206" s="3" t="s">
        <v>15</v>
      </c>
      <c r="M206" s="3" t="s">
        <v>636</v>
      </c>
      <c r="N206" s="3" t="s">
        <v>637</v>
      </c>
      <c r="O206" s="3" t="s">
        <v>18</v>
      </c>
      <c r="P206" s="3">
        <v>485.04</v>
      </c>
      <c r="Q206" s="3">
        <v>8</v>
      </c>
      <c r="R206" s="3">
        <v>35.78</v>
      </c>
      <c r="S206" s="3">
        <v>0.05</v>
      </c>
    </row>
    <row r="207" spans="8:19">
      <c r="H207" s="3" t="s">
        <v>638</v>
      </c>
      <c r="I207" s="25">
        <v>45873</v>
      </c>
      <c r="J207" s="3" t="s">
        <v>13</v>
      </c>
      <c r="K207" s="3" t="s">
        <v>14</v>
      </c>
      <c r="L207" s="3" t="s">
        <v>15</v>
      </c>
      <c r="M207" s="3" t="s">
        <v>639</v>
      </c>
      <c r="N207" s="3" t="s">
        <v>640</v>
      </c>
      <c r="O207" s="3" t="s">
        <v>39</v>
      </c>
      <c r="P207" s="3">
        <v>846.34</v>
      </c>
      <c r="Q207" s="3">
        <v>2</v>
      </c>
      <c r="R207" s="3">
        <v>295.55</v>
      </c>
      <c r="S207" s="3">
        <v>0.23</v>
      </c>
    </row>
    <row r="208" spans="8:19">
      <c r="H208" s="3" t="s">
        <v>641</v>
      </c>
      <c r="I208" s="25">
        <v>45759</v>
      </c>
      <c r="J208" s="3" t="s">
        <v>41</v>
      </c>
      <c r="K208" s="3" t="s">
        <v>32</v>
      </c>
      <c r="L208" s="3" t="s">
        <v>15</v>
      </c>
      <c r="M208" s="3" t="s">
        <v>642</v>
      </c>
      <c r="N208" s="3" t="s">
        <v>643</v>
      </c>
      <c r="O208" s="3" t="s">
        <v>35</v>
      </c>
      <c r="P208" s="3">
        <v>555.87</v>
      </c>
      <c r="Q208" s="3">
        <v>4</v>
      </c>
      <c r="R208" s="3">
        <v>181.6</v>
      </c>
      <c r="S208" s="3">
        <v>0.27</v>
      </c>
    </row>
    <row r="209" spans="8:19">
      <c r="H209" s="3" t="s">
        <v>644</v>
      </c>
      <c r="I209" s="25">
        <v>45698</v>
      </c>
      <c r="J209" s="3" t="s">
        <v>28</v>
      </c>
      <c r="K209" s="3" t="s">
        <v>32</v>
      </c>
      <c r="L209" s="3" t="s">
        <v>15</v>
      </c>
      <c r="M209" s="3" t="s">
        <v>645</v>
      </c>
      <c r="N209" s="3" t="s">
        <v>646</v>
      </c>
      <c r="O209" s="3" t="s">
        <v>35</v>
      </c>
      <c r="P209" s="3">
        <v>1411.29</v>
      </c>
      <c r="Q209" s="3">
        <v>4</v>
      </c>
      <c r="R209" s="3">
        <v>507.6</v>
      </c>
      <c r="S209" s="3">
        <v>7.0000000000000007E-2</v>
      </c>
    </row>
    <row r="210" spans="8:19">
      <c r="H210" s="3" t="s">
        <v>647</v>
      </c>
      <c r="I210" s="25">
        <v>45717</v>
      </c>
      <c r="J210" s="3" t="s">
        <v>28</v>
      </c>
      <c r="K210" s="3" t="s">
        <v>32</v>
      </c>
      <c r="L210" s="3" t="s">
        <v>15</v>
      </c>
      <c r="M210" s="3" t="s">
        <v>648</v>
      </c>
      <c r="N210" s="3" t="s">
        <v>649</v>
      </c>
      <c r="O210" s="3" t="s">
        <v>35</v>
      </c>
      <c r="P210" s="3">
        <v>611.26</v>
      </c>
      <c r="Q210" s="3">
        <v>10</v>
      </c>
      <c r="R210" s="3">
        <v>154.32</v>
      </c>
      <c r="S210" s="3">
        <v>0.03</v>
      </c>
    </row>
    <row r="211" spans="8:19">
      <c r="H211" s="3" t="s">
        <v>650</v>
      </c>
      <c r="I211" s="25">
        <v>45821</v>
      </c>
      <c r="J211" s="3" t="s">
        <v>20</v>
      </c>
      <c r="K211" s="3" t="s">
        <v>32</v>
      </c>
      <c r="L211" s="3" t="s">
        <v>15</v>
      </c>
      <c r="M211" s="3" t="s">
        <v>651</v>
      </c>
      <c r="N211" s="3" t="s">
        <v>652</v>
      </c>
      <c r="O211" s="3" t="s">
        <v>35</v>
      </c>
      <c r="P211" s="3">
        <v>1497.91</v>
      </c>
      <c r="Q211" s="3">
        <v>1</v>
      </c>
      <c r="R211" s="3">
        <v>140.24</v>
      </c>
      <c r="S211" s="3">
        <v>0.03</v>
      </c>
    </row>
    <row r="212" spans="8:19">
      <c r="H212" s="3" t="s">
        <v>653</v>
      </c>
      <c r="I212" s="25">
        <v>45885</v>
      </c>
      <c r="J212" s="3" t="s">
        <v>20</v>
      </c>
      <c r="K212" s="3" t="s">
        <v>14</v>
      </c>
      <c r="L212" s="3" t="s">
        <v>15</v>
      </c>
      <c r="M212" s="3" t="s">
        <v>654</v>
      </c>
      <c r="N212" s="3" t="s">
        <v>655</v>
      </c>
      <c r="O212" s="3" t="s">
        <v>35</v>
      </c>
      <c r="P212" s="3">
        <v>880.01</v>
      </c>
      <c r="Q212" s="3">
        <v>4</v>
      </c>
      <c r="R212" s="3">
        <v>218.58</v>
      </c>
      <c r="S212" s="3">
        <v>0.22</v>
      </c>
    </row>
    <row r="213" spans="8:19">
      <c r="H213" s="3" t="s">
        <v>656</v>
      </c>
      <c r="I213" s="25">
        <v>45737</v>
      </c>
      <c r="J213" s="3" t="s">
        <v>13</v>
      </c>
      <c r="K213" s="3" t="s">
        <v>21</v>
      </c>
      <c r="L213" s="3" t="s">
        <v>15</v>
      </c>
      <c r="M213" s="3" t="s">
        <v>657</v>
      </c>
      <c r="N213" s="3" t="s">
        <v>658</v>
      </c>
      <c r="O213" s="3" t="s">
        <v>18</v>
      </c>
      <c r="P213" s="3">
        <v>1090.02</v>
      </c>
      <c r="Q213" s="3">
        <v>10</v>
      </c>
      <c r="R213" s="3">
        <v>403.52</v>
      </c>
      <c r="S213" s="3">
        <v>0.06</v>
      </c>
    </row>
    <row r="214" spans="8:19">
      <c r="H214" s="3" t="s">
        <v>659</v>
      </c>
      <c r="I214" s="25">
        <v>45955</v>
      </c>
      <c r="J214" s="3" t="s">
        <v>28</v>
      </c>
      <c r="K214" s="3" t="s">
        <v>14</v>
      </c>
      <c r="L214" s="3" t="s">
        <v>15</v>
      </c>
      <c r="M214" s="3" t="s">
        <v>660</v>
      </c>
      <c r="N214" s="3" t="s">
        <v>661</v>
      </c>
      <c r="O214" s="3" t="s">
        <v>18</v>
      </c>
      <c r="P214" s="3">
        <v>1473.26</v>
      </c>
      <c r="Q214" s="3">
        <v>5</v>
      </c>
      <c r="R214" s="3">
        <v>139.62</v>
      </c>
      <c r="S214" s="3">
        <v>0.18</v>
      </c>
    </row>
    <row r="215" spans="8:19">
      <c r="H215" s="3" t="s">
        <v>662</v>
      </c>
      <c r="I215" s="25">
        <v>46011</v>
      </c>
      <c r="J215" s="3" t="s">
        <v>20</v>
      </c>
      <c r="K215" s="3" t="s">
        <v>14</v>
      </c>
      <c r="L215" s="3" t="s">
        <v>15</v>
      </c>
      <c r="M215" s="3" t="s">
        <v>663</v>
      </c>
      <c r="N215" s="3" t="s">
        <v>664</v>
      </c>
      <c r="O215" s="3" t="s">
        <v>39</v>
      </c>
      <c r="P215" s="3">
        <v>622.79999999999995</v>
      </c>
      <c r="Q215" s="3">
        <v>4</v>
      </c>
      <c r="R215" s="3">
        <v>66.319999999999993</v>
      </c>
      <c r="S215" s="3">
        <v>0.1</v>
      </c>
    </row>
    <row r="216" spans="8:19">
      <c r="H216" s="3" t="s">
        <v>665</v>
      </c>
      <c r="I216" s="25">
        <v>45682</v>
      </c>
      <c r="J216" s="3" t="s">
        <v>41</v>
      </c>
      <c r="K216" s="3" t="s">
        <v>14</v>
      </c>
      <c r="L216" s="3" t="s">
        <v>15</v>
      </c>
      <c r="M216" s="3" t="s">
        <v>666</v>
      </c>
      <c r="N216" s="3" t="s">
        <v>667</v>
      </c>
      <c r="O216" s="3" t="s">
        <v>39</v>
      </c>
      <c r="P216" s="3">
        <v>1376.32</v>
      </c>
      <c r="Q216" s="3">
        <v>7</v>
      </c>
      <c r="R216" s="3">
        <v>468.91</v>
      </c>
      <c r="S216" s="3">
        <v>0.19</v>
      </c>
    </row>
    <row r="217" spans="8:19">
      <c r="H217" s="3" t="s">
        <v>668</v>
      </c>
      <c r="I217" s="25">
        <v>45701</v>
      </c>
      <c r="J217" s="3" t="s">
        <v>28</v>
      </c>
      <c r="K217" s="3" t="s">
        <v>32</v>
      </c>
      <c r="L217" s="3" t="s">
        <v>15</v>
      </c>
      <c r="M217" s="3" t="s">
        <v>669</v>
      </c>
      <c r="N217" s="3" t="s">
        <v>670</v>
      </c>
      <c r="O217" s="3" t="s">
        <v>35</v>
      </c>
      <c r="P217" s="3">
        <v>717.99</v>
      </c>
      <c r="Q217" s="3">
        <v>8</v>
      </c>
      <c r="R217" s="3">
        <v>160.75</v>
      </c>
      <c r="S217" s="3">
        <v>7.0000000000000007E-2</v>
      </c>
    </row>
    <row r="218" spans="8:19">
      <c r="H218" s="3" t="s">
        <v>671</v>
      </c>
      <c r="I218" s="25">
        <v>45939</v>
      </c>
      <c r="J218" s="3" t="s">
        <v>28</v>
      </c>
      <c r="K218" s="3" t="s">
        <v>21</v>
      </c>
      <c r="L218" s="3" t="s">
        <v>15</v>
      </c>
      <c r="M218" s="3" t="s">
        <v>672</v>
      </c>
      <c r="N218" s="3" t="s">
        <v>673</v>
      </c>
      <c r="O218" s="3" t="s">
        <v>35</v>
      </c>
      <c r="P218" s="3">
        <v>1911.63</v>
      </c>
      <c r="Q218" s="3">
        <v>9</v>
      </c>
      <c r="R218" s="3">
        <v>645.24</v>
      </c>
      <c r="S218" s="3">
        <v>0.28000000000000003</v>
      </c>
    </row>
    <row r="219" spans="8:19">
      <c r="H219" s="3" t="s">
        <v>674</v>
      </c>
      <c r="I219" s="25">
        <v>45759</v>
      </c>
      <c r="J219" s="3" t="s">
        <v>20</v>
      </c>
      <c r="K219" s="3" t="s">
        <v>32</v>
      </c>
      <c r="L219" s="3" t="s">
        <v>15</v>
      </c>
      <c r="M219" s="3" t="s">
        <v>675</v>
      </c>
      <c r="N219" s="3" t="s">
        <v>676</v>
      </c>
      <c r="O219" s="3" t="s">
        <v>35</v>
      </c>
      <c r="P219" s="3">
        <v>1972.02</v>
      </c>
      <c r="Q219" s="3">
        <v>2</v>
      </c>
      <c r="R219" s="3">
        <v>106.07</v>
      </c>
      <c r="S219" s="3">
        <v>0.11</v>
      </c>
    </row>
    <row r="220" spans="8:19">
      <c r="H220" s="3" t="s">
        <v>677</v>
      </c>
      <c r="I220" s="25">
        <v>45901</v>
      </c>
      <c r="J220" s="3" t="s">
        <v>20</v>
      </c>
      <c r="K220" s="3" t="s">
        <v>21</v>
      </c>
      <c r="L220" s="3" t="s">
        <v>15</v>
      </c>
      <c r="M220" s="3" t="s">
        <v>678</v>
      </c>
      <c r="N220" s="3" t="s">
        <v>679</v>
      </c>
      <c r="O220" s="3" t="s">
        <v>35</v>
      </c>
      <c r="P220" s="3">
        <v>1535.26</v>
      </c>
      <c r="Q220" s="3">
        <v>2</v>
      </c>
      <c r="R220" s="3">
        <v>528.84</v>
      </c>
      <c r="S220" s="3">
        <v>0.28000000000000003</v>
      </c>
    </row>
    <row r="221" spans="8:19">
      <c r="H221" s="3" t="s">
        <v>680</v>
      </c>
      <c r="I221" s="25">
        <v>45848</v>
      </c>
      <c r="J221" s="3" t="s">
        <v>28</v>
      </c>
      <c r="K221" s="3" t="s">
        <v>32</v>
      </c>
      <c r="L221" s="3" t="s">
        <v>15</v>
      </c>
      <c r="M221" s="3" t="s">
        <v>681</v>
      </c>
      <c r="N221" s="3" t="s">
        <v>682</v>
      </c>
      <c r="O221" s="3" t="s">
        <v>18</v>
      </c>
      <c r="P221" s="3">
        <v>1086.69</v>
      </c>
      <c r="Q221" s="3">
        <v>8</v>
      </c>
      <c r="R221" s="3">
        <v>421.47</v>
      </c>
      <c r="S221" s="3">
        <v>0.09</v>
      </c>
    </row>
    <row r="222" spans="8:19">
      <c r="H222" s="3" t="s">
        <v>683</v>
      </c>
      <c r="I222" s="25">
        <v>45855</v>
      </c>
      <c r="J222" s="3" t="s">
        <v>28</v>
      </c>
      <c r="K222" s="3" t="s">
        <v>14</v>
      </c>
      <c r="L222" s="3" t="s">
        <v>15</v>
      </c>
      <c r="M222" s="3" t="s">
        <v>684</v>
      </c>
      <c r="N222" s="3" t="s">
        <v>685</v>
      </c>
      <c r="O222" s="3" t="s">
        <v>18</v>
      </c>
      <c r="P222" s="3">
        <v>815.66</v>
      </c>
      <c r="Q222" s="3">
        <v>4</v>
      </c>
      <c r="R222" s="3">
        <v>81.52</v>
      </c>
      <c r="S222" s="3">
        <v>0.23</v>
      </c>
    </row>
    <row r="223" spans="8:19">
      <c r="H223" s="3" t="s">
        <v>686</v>
      </c>
      <c r="I223" s="25">
        <v>45782</v>
      </c>
      <c r="J223" s="3" t="s">
        <v>41</v>
      </c>
      <c r="K223" s="3" t="s">
        <v>21</v>
      </c>
      <c r="L223" s="3" t="s">
        <v>15</v>
      </c>
      <c r="M223" s="3" t="s">
        <v>687</v>
      </c>
      <c r="N223" s="3" t="s">
        <v>688</v>
      </c>
      <c r="O223" s="3" t="s">
        <v>18</v>
      </c>
      <c r="P223" s="3">
        <v>193.75</v>
      </c>
      <c r="Q223" s="3">
        <v>1</v>
      </c>
      <c r="R223" s="3">
        <v>21.8</v>
      </c>
      <c r="S223" s="3">
        <v>0.26</v>
      </c>
    </row>
    <row r="224" spans="8:19">
      <c r="H224" s="3" t="s">
        <v>689</v>
      </c>
      <c r="I224" s="25">
        <v>46003</v>
      </c>
      <c r="J224" s="3" t="s">
        <v>41</v>
      </c>
      <c r="K224" s="3" t="s">
        <v>14</v>
      </c>
      <c r="L224" s="3" t="s">
        <v>15</v>
      </c>
      <c r="M224" s="3" t="s">
        <v>690</v>
      </c>
      <c r="N224" s="3" t="s">
        <v>691</v>
      </c>
      <c r="O224" s="3" t="s">
        <v>35</v>
      </c>
      <c r="P224" s="3">
        <v>118.96</v>
      </c>
      <c r="Q224" s="3">
        <v>2</v>
      </c>
      <c r="R224" s="3">
        <v>13.06</v>
      </c>
      <c r="S224" s="3">
        <v>0.09</v>
      </c>
    </row>
    <row r="225" spans="8:19">
      <c r="H225" s="3" t="s">
        <v>692</v>
      </c>
      <c r="I225" s="25">
        <v>46002</v>
      </c>
      <c r="J225" s="3" t="s">
        <v>41</v>
      </c>
      <c r="K225" s="3" t="s">
        <v>14</v>
      </c>
      <c r="L225" s="3" t="s">
        <v>15</v>
      </c>
      <c r="M225" s="3" t="s">
        <v>693</v>
      </c>
      <c r="N225" s="3" t="s">
        <v>694</v>
      </c>
      <c r="O225" s="3" t="s">
        <v>35</v>
      </c>
      <c r="P225" s="3">
        <v>1136.49</v>
      </c>
      <c r="Q225" s="3">
        <v>1</v>
      </c>
      <c r="R225" s="3">
        <v>441.09</v>
      </c>
      <c r="S225" s="3">
        <v>0.16</v>
      </c>
    </row>
    <row r="226" spans="8:19">
      <c r="H226" s="3" t="s">
        <v>695</v>
      </c>
      <c r="I226" s="25">
        <v>45921</v>
      </c>
      <c r="J226" s="3" t="s">
        <v>28</v>
      </c>
      <c r="K226" s="3" t="s">
        <v>32</v>
      </c>
      <c r="L226" s="3" t="s">
        <v>15</v>
      </c>
      <c r="M226" s="3" t="s">
        <v>696</v>
      </c>
      <c r="N226" s="3" t="s">
        <v>697</v>
      </c>
      <c r="O226" s="3" t="s">
        <v>35</v>
      </c>
      <c r="P226" s="3">
        <v>715.62</v>
      </c>
      <c r="Q226" s="3">
        <v>8</v>
      </c>
      <c r="R226" s="3">
        <v>177.87</v>
      </c>
      <c r="S226" s="3">
        <v>0.12</v>
      </c>
    </row>
    <row r="227" spans="8:19">
      <c r="H227" s="3" t="s">
        <v>698</v>
      </c>
      <c r="I227" s="25">
        <v>45672</v>
      </c>
      <c r="J227" s="3" t="s">
        <v>28</v>
      </c>
      <c r="K227" s="3" t="s">
        <v>14</v>
      </c>
      <c r="L227" s="3" t="s">
        <v>15</v>
      </c>
      <c r="M227" s="3" t="s">
        <v>699</v>
      </c>
      <c r="N227" s="3" t="s">
        <v>700</v>
      </c>
      <c r="O227" s="3" t="s">
        <v>18</v>
      </c>
      <c r="P227" s="3">
        <v>890.72</v>
      </c>
      <c r="Q227" s="3">
        <v>5</v>
      </c>
      <c r="R227" s="3">
        <v>298.42</v>
      </c>
      <c r="S227" s="3">
        <v>0.25</v>
      </c>
    </row>
    <row r="228" spans="8:19">
      <c r="H228" s="3" t="s">
        <v>701</v>
      </c>
      <c r="I228" s="25">
        <v>45720</v>
      </c>
      <c r="J228" s="3" t="s">
        <v>28</v>
      </c>
      <c r="K228" s="3" t="s">
        <v>32</v>
      </c>
      <c r="L228" s="3" t="s">
        <v>15</v>
      </c>
      <c r="M228" s="3" t="s">
        <v>702</v>
      </c>
      <c r="N228" s="3" t="s">
        <v>703</v>
      </c>
      <c r="O228" s="3" t="s">
        <v>35</v>
      </c>
      <c r="P228" s="3">
        <v>1977.2</v>
      </c>
      <c r="Q228" s="3">
        <v>9</v>
      </c>
      <c r="R228" s="3">
        <v>459.31</v>
      </c>
      <c r="S228" s="3">
        <v>0.26</v>
      </c>
    </row>
    <row r="229" spans="8:19">
      <c r="H229" s="3" t="s">
        <v>704</v>
      </c>
      <c r="I229" s="25">
        <v>45853</v>
      </c>
      <c r="J229" s="3" t="s">
        <v>13</v>
      </c>
      <c r="K229" s="3" t="s">
        <v>21</v>
      </c>
      <c r="L229" s="3" t="s">
        <v>15</v>
      </c>
      <c r="M229" s="3" t="s">
        <v>705</v>
      </c>
      <c r="N229" s="3" t="s">
        <v>706</v>
      </c>
      <c r="O229" s="3" t="s">
        <v>35</v>
      </c>
      <c r="P229" s="3">
        <v>1409.45</v>
      </c>
      <c r="Q229" s="3">
        <v>9</v>
      </c>
      <c r="R229" s="3">
        <v>246.85</v>
      </c>
      <c r="S229" s="3">
        <v>0.09</v>
      </c>
    </row>
    <row r="230" spans="8:19">
      <c r="H230" s="3" t="s">
        <v>707</v>
      </c>
      <c r="I230" s="25">
        <v>45894</v>
      </c>
      <c r="J230" s="3" t="s">
        <v>41</v>
      </c>
      <c r="K230" s="3" t="s">
        <v>32</v>
      </c>
      <c r="L230" s="3" t="s">
        <v>15</v>
      </c>
      <c r="M230" s="3" t="s">
        <v>708</v>
      </c>
      <c r="N230" s="3" t="s">
        <v>709</v>
      </c>
      <c r="O230" s="3" t="s">
        <v>18</v>
      </c>
      <c r="P230" s="3">
        <v>1207.28</v>
      </c>
      <c r="Q230" s="3">
        <v>1</v>
      </c>
      <c r="R230" s="3">
        <v>275.97000000000003</v>
      </c>
      <c r="S230" s="3">
        <v>0.01</v>
      </c>
    </row>
    <row r="231" spans="8:19">
      <c r="H231" s="3" t="s">
        <v>710</v>
      </c>
      <c r="I231" s="25">
        <v>46004</v>
      </c>
      <c r="J231" s="3" t="s">
        <v>20</v>
      </c>
      <c r="K231" s="3" t="s">
        <v>21</v>
      </c>
      <c r="L231" s="3" t="s">
        <v>15</v>
      </c>
      <c r="M231" s="3" t="s">
        <v>711</v>
      </c>
      <c r="N231" s="3" t="s">
        <v>712</v>
      </c>
      <c r="O231" s="3" t="s">
        <v>39</v>
      </c>
      <c r="P231" s="3">
        <v>133.5</v>
      </c>
      <c r="Q231" s="3">
        <v>5</v>
      </c>
      <c r="R231" s="3">
        <v>51.2</v>
      </c>
      <c r="S231" s="3">
        <v>0.15</v>
      </c>
    </row>
    <row r="232" spans="8:19">
      <c r="H232" s="3" t="s">
        <v>713</v>
      </c>
      <c r="I232" s="25">
        <v>45718</v>
      </c>
      <c r="J232" s="3" t="s">
        <v>28</v>
      </c>
      <c r="K232" s="3" t="s">
        <v>32</v>
      </c>
      <c r="L232" s="3" t="s">
        <v>15</v>
      </c>
      <c r="M232" s="3" t="s">
        <v>714</v>
      </c>
      <c r="N232" s="3" t="s">
        <v>715</v>
      </c>
      <c r="O232" s="3" t="s">
        <v>39</v>
      </c>
      <c r="P232" s="3">
        <v>877.08</v>
      </c>
      <c r="Q232" s="3">
        <v>8</v>
      </c>
      <c r="R232" s="3">
        <v>132.87</v>
      </c>
      <c r="S232" s="3">
        <v>0.04</v>
      </c>
    </row>
    <row r="233" spans="8:19">
      <c r="H233" s="3" t="s">
        <v>716</v>
      </c>
      <c r="I233" s="25">
        <v>45703</v>
      </c>
      <c r="J233" s="3" t="s">
        <v>41</v>
      </c>
      <c r="K233" s="3" t="s">
        <v>14</v>
      </c>
      <c r="L233" s="3" t="s">
        <v>15</v>
      </c>
      <c r="M233" s="3" t="s">
        <v>717</v>
      </c>
      <c r="N233" s="3" t="s">
        <v>718</v>
      </c>
      <c r="O233" s="3" t="s">
        <v>35</v>
      </c>
      <c r="P233" s="3">
        <v>221.27</v>
      </c>
      <c r="Q233" s="3">
        <v>1</v>
      </c>
      <c r="R233" s="3">
        <v>74.400000000000006</v>
      </c>
      <c r="S233" s="3">
        <v>0.25</v>
      </c>
    </row>
    <row r="234" spans="8:19">
      <c r="H234" s="3" t="s">
        <v>719</v>
      </c>
      <c r="I234" s="25">
        <v>45934</v>
      </c>
      <c r="J234" s="3" t="s">
        <v>28</v>
      </c>
      <c r="K234" s="3" t="s">
        <v>21</v>
      </c>
      <c r="L234" s="3" t="s">
        <v>15</v>
      </c>
      <c r="M234" s="3" t="s">
        <v>720</v>
      </c>
      <c r="N234" s="3" t="s">
        <v>721</v>
      </c>
      <c r="O234" s="3" t="s">
        <v>35</v>
      </c>
      <c r="P234" s="3">
        <v>1431.07</v>
      </c>
      <c r="Q234" s="3">
        <v>5</v>
      </c>
      <c r="R234" s="3">
        <v>131.88</v>
      </c>
      <c r="S234" s="3">
        <v>0.21</v>
      </c>
    </row>
    <row r="235" spans="8:19">
      <c r="H235" s="3" t="s">
        <v>722</v>
      </c>
      <c r="I235" s="25">
        <v>45691</v>
      </c>
      <c r="J235" s="3" t="s">
        <v>28</v>
      </c>
      <c r="K235" s="3" t="s">
        <v>32</v>
      </c>
      <c r="L235" s="3" t="s">
        <v>15</v>
      </c>
      <c r="M235" s="3" t="s">
        <v>723</v>
      </c>
      <c r="N235" s="3" t="s">
        <v>724</v>
      </c>
      <c r="O235" s="3" t="s">
        <v>18</v>
      </c>
      <c r="P235" s="3">
        <v>687.31</v>
      </c>
      <c r="Q235" s="3">
        <v>5</v>
      </c>
      <c r="R235" s="3">
        <v>246.9</v>
      </c>
      <c r="S235" s="3">
        <v>0.19</v>
      </c>
    </row>
    <row r="236" spans="8:19">
      <c r="H236" s="3" t="s">
        <v>725</v>
      </c>
      <c r="I236" s="25">
        <v>45720</v>
      </c>
      <c r="J236" s="3" t="s">
        <v>13</v>
      </c>
      <c r="K236" s="3" t="s">
        <v>21</v>
      </c>
      <c r="L236" s="3" t="s">
        <v>15</v>
      </c>
      <c r="M236" s="3" t="s">
        <v>726</v>
      </c>
      <c r="N236" s="3" t="s">
        <v>727</v>
      </c>
      <c r="O236" s="3" t="s">
        <v>18</v>
      </c>
      <c r="P236" s="3">
        <v>1148.22</v>
      </c>
      <c r="Q236" s="3">
        <v>5</v>
      </c>
      <c r="R236" s="3">
        <v>88.54</v>
      </c>
      <c r="S236" s="3">
        <v>0.18</v>
      </c>
    </row>
    <row r="237" spans="8:19">
      <c r="H237" s="3" t="s">
        <v>728</v>
      </c>
      <c r="I237" s="25">
        <v>45950</v>
      </c>
      <c r="J237" s="3" t="s">
        <v>13</v>
      </c>
      <c r="K237" s="3" t="s">
        <v>14</v>
      </c>
      <c r="L237" s="3" t="s">
        <v>15</v>
      </c>
      <c r="M237" s="3" t="s">
        <v>729</v>
      </c>
      <c r="N237" s="3" t="s">
        <v>730</v>
      </c>
      <c r="O237" s="3" t="s">
        <v>18</v>
      </c>
      <c r="P237" s="3">
        <v>1821.91</v>
      </c>
      <c r="Q237" s="3">
        <v>5</v>
      </c>
      <c r="R237" s="3">
        <v>206.47</v>
      </c>
      <c r="S237" s="3">
        <v>0.26</v>
      </c>
    </row>
    <row r="238" spans="8:19">
      <c r="H238" s="3" t="s">
        <v>731</v>
      </c>
      <c r="I238" s="25">
        <v>45790</v>
      </c>
      <c r="J238" s="3" t="s">
        <v>13</v>
      </c>
      <c r="K238" s="3" t="s">
        <v>32</v>
      </c>
      <c r="L238" s="3" t="s">
        <v>15</v>
      </c>
      <c r="M238" s="3" t="s">
        <v>732</v>
      </c>
      <c r="N238" s="3" t="s">
        <v>733</v>
      </c>
      <c r="O238" s="3" t="s">
        <v>18</v>
      </c>
      <c r="P238" s="3">
        <v>742.44</v>
      </c>
      <c r="Q238" s="3">
        <v>4</v>
      </c>
      <c r="R238" s="3">
        <v>219.15</v>
      </c>
      <c r="S238" s="3">
        <v>0.11</v>
      </c>
    </row>
    <row r="239" spans="8:19">
      <c r="H239" s="3" t="s">
        <v>734</v>
      </c>
      <c r="I239" s="25">
        <v>45682</v>
      </c>
      <c r="J239" s="3" t="s">
        <v>20</v>
      </c>
      <c r="K239" s="3" t="s">
        <v>32</v>
      </c>
      <c r="L239" s="3" t="s">
        <v>15</v>
      </c>
      <c r="M239" s="3" t="s">
        <v>735</v>
      </c>
      <c r="N239" s="3" t="s">
        <v>736</v>
      </c>
      <c r="O239" s="3" t="s">
        <v>39</v>
      </c>
      <c r="P239" s="3">
        <v>1709.85</v>
      </c>
      <c r="Q239" s="3">
        <v>9</v>
      </c>
      <c r="R239" s="3">
        <v>148.34</v>
      </c>
      <c r="S239" s="3">
        <v>0</v>
      </c>
    </row>
    <row r="240" spans="8:19">
      <c r="H240" s="3" t="s">
        <v>737</v>
      </c>
      <c r="I240" s="25">
        <v>45669</v>
      </c>
      <c r="J240" s="3" t="s">
        <v>20</v>
      </c>
      <c r="K240" s="3" t="s">
        <v>32</v>
      </c>
      <c r="L240" s="3" t="s">
        <v>15</v>
      </c>
      <c r="M240" s="3" t="s">
        <v>738</v>
      </c>
      <c r="N240" s="3" t="s">
        <v>739</v>
      </c>
      <c r="O240" s="3" t="s">
        <v>39</v>
      </c>
      <c r="P240" s="3">
        <v>639.70000000000005</v>
      </c>
      <c r="Q240" s="3">
        <v>5</v>
      </c>
      <c r="R240" s="3">
        <v>71.83</v>
      </c>
      <c r="S240" s="3">
        <v>0.09</v>
      </c>
    </row>
    <row r="241" spans="8:19">
      <c r="H241" s="3" t="s">
        <v>740</v>
      </c>
      <c r="I241" s="25">
        <v>45934</v>
      </c>
      <c r="J241" s="3" t="s">
        <v>20</v>
      </c>
      <c r="K241" s="3" t="s">
        <v>21</v>
      </c>
      <c r="L241" s="3" t="s">
        <v>15</v>
      </c>
      <c r="M241" s="3" t="s">
        <v>741</v>
      </c>
      <c r="N241" s="3" t="s">
        <v>742</v>
      </c>
      <c r="O241" s="3" t="s">
        <v>18</v>
      </c>
      <c r="P241" s="3">
        <v>1493.18</v>
      </c>
      <c r="Q241" s="3">
        <v>10</v>
      </c>
      <c r="R241" s="3">
        <v>326.08</v>
      </c>
      <c r="S241" s="3">
        <v>0.19</v>
      </c>
    </row>
    <row r="242" spans="8:19">
      <c r="H242" s="3" t="s">
        <v>743</v>
      </c>
      <c r="I242" s="25">
        <v>45781</v>
      </c>
      <c r="J242" s="3" t="s">
        <v>20</v>
      </c>
      <c r="K242" s="3" t="s">
        <v>21</v>
      </c>
      <c r="L242" s="3" t="s">
        <v>15</v>
      </c>
      <c r="M242" s="3" t="s">
        <v>744</v>
      </c>
      <c r="N242" s="3" t="s">
        <v>745</v>
      </c>
      <c r="O242" s="3" t="s">
        <v>35</v>
      </c>
      <c r="P242" s="3">
        <v>108.57</v>
      </c>
      <c r="Q242" s="3">
        <v>8</v>
      </c>
      <c r="R242" s="3">
        <v>11.43</v>
      </c>
      <c r="S242" s="3">
        <v>0.11</v>
      </c>
    </row>
    <row r="243" spans="8:19">
      <c r="H243" s="3" t="s">
        <v>746</v>
      </c>
      <c r="I243" s="25">
        <v>45783</v>
      </c>
      <c r="J243" s="3" t="s">
        <v>13</v>
      </c>
      <c r="K243" s="3" t="s">
        <v>21</v>
      </c>
      <c r="L243" s="3" t="s">
        <v>15</v>
      </c>
      <c r="M243" s="3" t="s">
        <v>747</v>
      </c>
      <c r="N243" s="3" t="s">
        <v>748</v>
      </c>
      <c r="O243" s="3" t="s">
        <v>18</v>
      </c>
      <c r="P243" s="3">
        <v>1191.29</v>
      </c>
      <c r="Q243" s="3">
        <v>6</v>
      </c>
      <c r="R243" s="3">
        <v>352.19</v>
      </c>
      <c r="S243" s="3">
        <v>0.17</v>
      </c>
    </row>
    <row r="244" spans="8:19">
      <c r="H244" s="3" t="s">
        <v>749</v>
      </c>
      <c r="I244" s="25">
        <v>45964</v>
      </c>
      <c r="J244" s="3" t="s">
        <v>20</v>
      </c>
      <c r="K244" s="3" t="s">
        <v>21</v>
      </c>
      <c r="L244" s="3" t="s">
        <v>15</v>
      </c>
      <c r="M244" s="3" t="s">
        <v>750</v>
      </c>
      <c r="N244" s="3" t="s">
        <v>751</v>
      </c>
      <c r="O244" s="3" t="s">
        <v>39</v>
      </c>
      <c r="P244" s="3">
        <v>905.44</v>
      </c>
      <c r="Q244" s="3">
        <v>2</v>
      </c>
      <c r="R244" s="3">
        <v>172.2</v>
      </c>
      <c r="S244" s="3">
        <v>0.15</v>
      </c>
    </row>
    <row r="245" spans="8:19">
      <c r="H245" s="3" t="s">
        <v>752</v>
      </c>
      <c r="I245" s="25">
        <v>45978</v>
      </c>
      <c r="J245" s="3" t="s">
        <v>13</v>
      </c>
      <c r="K245" s="3" t="s">
        <v>21</v>
      </c>
      <c r="L245" s="3" t="s">
        <v>15</v>
      </c>
      <c r="M245" s="3" t="s">
        <v>753</v>
      </c>
      <c r="N245" s="3" t="s">
        <v>754</v>
      </c>
      <c r="O245" s="3" t="s">
        <v>35</v>
      </c>
      <c r="P245" s="3">
        <v>718.47</v>
      </c>
      <c r="Q245" s="3">
        <v>10</v>
      </c>
      <c r="R245" s="3">
        <v>141.68</v>
      </c>
      <c r="S245" s="3">
        <v>0.05</v>
      </c>
    </row>
    <row r="246" spans="8:19">
      <c r="H246" s="3" t="s">
        <v>755</v>
      </c>
      <c r="I246" s="25">
        <v>45968</v>
      </c>
      <c r="J246" s="3" t="s">
        <v>20</v>
      </c>
      <c r="K246" s="3" t="s">
        <v>14</v>
      </c>
      <c r="L246" s="3" t="s">
        <v>15</v>
      </c>
      <c r="M246" s="3" t="s">
        <v>756</v>
      </c>
      <c r="N246" s="3" t="s">
        <v>757</v>
      </c>
      <c r="O246" s="3" t="s">
        <v>35</v>
      </c>
      <c r="P246" s="3">
        <v>700.57</v>
      </c>
      <c r="Q246" s="3">
        <v>3</v>
      </c>
      <c r="R246" s="3">
        <v>144.38</v>
      </c>
      <c r="S246" s="3">
        <v>0.28000000000000003</v>
      </c>
    </row>
    <row r="247" spans="8:19">
      <c r="H247" s="3" t="s">
        <v>758</v>
      </c>
      <c r="I247" s="25">
        <v>45756</v>
      </c>
      <c r="J247" s="3" t="s">
        <v>20</v>
      </c>
      <c r="K247" s="3" t="s">
        <v>21</v>
      </c>
      <c r="L247" s="3" t="s">
        <v>15</v>
      </c>
      <c r="M247" s="3" t="s">
        <v>759</v>
      </c>
      <c r="N247" s="3" t="s">
        <v>760</v>
      </c>
      <c r="O247" s="3" t="s">
        <v>18</v>
      </c>
      <c r="P247" s="3">
        <v>1286.58</v>
      </c>
      <c r="Q247" s="3">
        <v>3</v>
      </c>
      <c r="R247" s="3">
        <v>144.61000000000001</v>
      </c>
      <c r="S247" s="3">
        <v>0.03</v>
      </c>
    </row>
    <row r="248" spans="8:19">
      <c r="H248" s="3" t="s">
        <v>761</v>
      </c>
      <c r="I248" s="25">
        <v>45792</v>
      </c>
      <c r="J248" s="3" t="s">
        <v>28</v>
      </c>
      <c r="K248" s="3" t="s">
        <v>32</v>
      </c>
      <c r="L248" s="3" t="s">
        <v>15</v>
      </c>
      <c r="M248" s="3" t="s">
        <v>762</v>
      </c>
      <c r="N248" s="3" t="s">
        <v>763</v>
      </c>
      <c r="O248" s="3" t="s">
        <v>18</v>
      </c>
      <c r="P248" s="3">
        <v>940.01</v>
      </c>
      <c r="Q248" s="3">
        <v>2</v>
      </c>
      <c r="R248" s="3">
        <v>216.92</v>
      </c>
      <c r="S248" s="3">
        <v>0.12</v>
      </c>
    </row>
    <row r="249" spans="8:19">
      <c r="H249" s="3" t="s">
        <v>764</v>
      </c>
      <c r="I249" s="25">
        <v>45743</v>
      </c>
      <c r="J249" s="3" t="s">
        <v>28</v>
      </c>
      <c r="K249" s="3" t="s">
        <v>14</v>
      </c>
      <c r="L249" s="3" t="s">
        <v>15</v>
      </c>
      <c r="M249" s="3" t="s">
        <v>765</v>
      </c>
      <c r="N249" s="3" t="s">
        <v>766</v>
      </c>
      <c r="O249" s="3" t="s">
        <v>35</v>
      </c>
      <c r="P249" s="3">
        <v>463.29</v>
      </c>
      <c r="Q249" s="3">
        <v>5</v>
      </c>
      <c r="R249" s="3">
        <v>132.29</v>
      </c>
      <c r="S249" s="3">
        <v>0.09</v>
      </c>
    </row>
    <row r="250" spans="8:19">
      <c r="H250" s="3" t="s">
        <v>767</v>
      </c>
      <c r="I250" s="25">
        <v>45872</v>
      </c>
      <c r="J250" s="3" t="s">
        <v>13</v>
      </c>
      <c r="K250" s="3" t="s">
        <v>14</v>
      </c>
      <c r="L250" s="3" t="s">
        <v>15</v>
      </c>
      <c r="M250" s="3" t="s">
        <v>768</v>
      </c>
      <c r="N250" s="3" t="s">
        <v>769</v>
      </c>
      <c r="O250" s="3" t="s">
        <v>39</v>
      </c>
      <c r="P250" s="3">
        <v>1558.76</v>
      </c>
      <c r="Q250" s="3">
        <v>3</v>
      </c>
      <c r="R250" s="3">
        <v>507.8</v>
      </c>
      <c r="S250" s="3">
        <v>0.1</v>
      </c>
    </row>
    <row r="251" spans="8:19">
      <c r="H251" s="3" t="s">
        <v>770</v>
      </c>
      <c r="I251" s="25">
        <v>45882</v>
      </c>
      <c r="J251" s="3" t="s">
        <v>41</v>
      </c>
      <c r="K251" s="3" t="s">
        <v>32</v>
      </c>
      <c r="L251" s="3" t="s">
        <v>15</v>
      </c>
      <c r="M251" s="3" t="s">
        <v>771</v>
      </c>
      <c r="N251" s="3" t="s">
        <v>772</v>
      </c>
      <c r="O251" s="3" t="s">
        <v>39</v>
      </c>
      <c r="P251" s="3">
        <v>1637.21</v>
      </c>
      <c r="Q251" s="3">
        <v>3</v>
      </c>
      <c r="R251" s="3">
        <v>123.83</v>
      </c>
      <c r="S251" s="3">
        <v>0.19</v>
      </c>
    </row>
    <row r="252" spans="8:19">
      <c r="H252" s="3" t="s">
        <v>773</v>
      </c>
      <c r="I252" s="25">
        <v>45805</v>
      </c>
      <c r="J252" s="3" t="s">
        <v>41</v>
      </c>
      <c r="K252" s="3" t="s">
        <v>14</v>
      </c>
      <c r="L252" s="3" t="s">
        <v>15</v>
      </c>
      <c r="M252" s="3" t="s">
        <v>774</v>
      </c>
      <c r="N252" s="3" t="s">
        <v>775</v>
      </c>
      <c r="O252" s="3" t="s">
        <v>18</v>
      </c>
      <c r="P252" s="3">
        <v>370.23</v>
      </c>
      <c r="Q252" s="3">
        <v>8</v>
      </c>
      <c r="R252" s="3">
        <v>87.81</v>
      </c>
      <c r="S252" s="3">
        <v>0.25</v>
      </c>
    </row>
    <row r="253" spans="8:19">
      <c r="H253" s="3" t="s">
        <v>776</v>
      </c>
      <c r="I253" s="25">
        <v>45956</v>
      </c>
      <c r="J253" s="3" t="s">
        <v>20</v>
      </c>
      <c r="K253" s="3" t="s">
        <v>21</v>
      </c>
      <c r="L253" s="3" t="s">
        <v>15</v>
      </c>
      <c r="M253" s="3" t="s">
        <v>777</v>
      </c>
      <c r="N253" s="3" t="s">
        <v>778</v>
      </c>
      <c r="O253" s="3" t="s">
        <v>39</v>
      </c>
      <c r="P253" s="3">
        <v>998.59</v>
      </c>
      <c r="Q253" s="3">
        <v>10</v>
      </c>
      <c r="R253" s="3">
        <v>284.93</v>
      </c>
      <c r="S253" s="3">
        <v>0.19</v>
      </c>
    </row>
    <row r="254" spans="8:19">
      <c r="H254" s="3" t="s">
        <v>779</v>
      </c>
      <c r="I254" s="25">
        <v>45855</v>
      </c>
      <c r="J254" s="3" t="s">
        <v>13</v>
      </c>
      <c r="K254" s="3" t="s">
        <v>32</v>
      </c>
      <c r="L254" s="3" t="s">
        <v>15</v>
      </c>
      <c r="M254" s="3" t="s">
        <v>780</v>
      </c>
      <c r="N254" s="3" t="s">
        <v>781</v>
      </c>
      <c r="O254" s="3" t="s">
        <v>39</v>
      </c>
      <c r="P254" s="3">
        <v>649.97</v>
      </c>
      <c r="Q254" s="3">
        <v>7</v>
      </c>
      <c r="R254" s="3">
        <v>221.33</v>
      </c>
      <c r="S254" s="3">
        <v>0.28000000000000003</v>
      </c>
    </row>
    <row r="255" spans="8:19">
      <c r="H255" s="3" t="s">
        <v>782</v>
      </c>
      <c r="I255" s="25">
        <v>45845</v>
      </c>
      <c r="J255" s="3" t="s">
        <v>28</v>
      </c>
      <c r="K255" s="3" t="s">
        <v>14</v>
      </c>
      <c r="L255" s="3" t="s">
        <v>15</v>
      </c>
      <c r="M255" s="3" t="s">
        <v>783</v>
      </c>
      <c r="N255" s="3" t="s">
        <v>784</v>
      </c>
      <c r="O255" s="3" t="s">
        <v>35</v>
      </c>
      <c r="P255" s="3">
        <v>1719.58</v>
      </c>
      <c r="Q255" s="3">
        <v>6</v>
      </c>
      <c r="R255" s="3">
        <v>218.91</v>
      </c>
      <c r="S255" s="3">
        <v>0.15</v>
      </c>
    </row>
    <row r="256" spans="8:19">
      <c r="H256" s="3" t="s">
        <v>785</v>
      </c>
      <c r="I256" s="25">
        <v>45903</v>
      </c>
      <c r="J256" s="3" t="s">
        <v>41</v>
      </c>
      <c r="K256" s="3" t="s">
        <v>32</v>
      </c>
      <c r="L256" s="3" t="s">
        <v>15</v>
      </c>
      <c r="M256" s="3" t="s">
        <v>786</v>
      </c>
      <c r="N256" s="3" t="s">
        <v>787</v>
      </c>
      <c r="O256" s="3" t="s">
        <v>35</v>
      </c>
      <c r="P256" s="3">
        <v>1041.72</v>
      </c>
      <c r="Q256" s="3">
        <v>8</v>
      </c>
      <c r="R256" s="3">
        <v>113.35</v>
      </c>
      <c r="S256" s="3">
        <v>0.19</v>
      </c>
    </row>
    <row r="257" spans="8:19">
      <c r="H257" s="3" t="s">
        <v>788</v>
      </c>
      <c r="I257" s="25">
        <v>45770</v>
      </c>
      <c r="J257" s="3" t="s">
        <v>20</v>
      </c>
      <c r="K257" s="3" t="s">
        <v>32</v>
      </c>
      <c r="L257" s="3" t="s">
        <v>15</v>
      </c>
      <c r="M257" s="3" t="s">
        <v>789</v>
      </c>
      <c r="N257" s="3" t="s">
        <v>790</v>
      </c>
      <c r="O257" s="3" t="s">
        <v>18</v>
      </c>
      <c r="P257" s="3">
        <v>245.46</v>
      </c>
      <c r="Q257" s="3">
        <v>1</v>
      </c>
      <c r="R257" s="3">
        <v>85.34</v>
      </c>
      <c r="S257" s="3">
        <v>0.3</v>
      </c>
    </row>
    <row r="258" spans="8:19">
      <c r="H258" s="3" t="s">
        <v>791</v>
      </c>
      <c r="I258" s="25">
        <v>45885</v>
      </c>
      <c r="J258" s="3" t="s">
        <v>28</v>
      </c>
      <c r="K258" s="3" t="s">
        <v>14</v>
      </c>
      <c r="L258" s="3" t="s">
        <v>15</v>
      </c>
      <c r="M258" s="3" t="s">
        <v>792</v>
      </c>
      <c r="N258" s="3" t="s">
        <v>793</v>
      </c>
      <c r="O258" s="3" t="s">
        <v>35</v>
      </c>
      <c r="P258" s="3">
        <v>1428.86</v>
      </c>
      <c r="Q258" s="3">
        <v>1</v>
      </c>
      <c r="R258" s="3">
        <v>348.86</v>
      </c>
      <c r="S258" s="3">
        <v>0.02</v>
      </c>
    </row>
    <row r="259" spans="8:19">
      <c r="H259" s="3" t="s">
        <v>794</v>
      </c>
      <c r="I259" s="25">
        <v>46015</v>
      </c>
      <c r="J259" s="3" t="s">
        <v>41</v>
      </c>
      <c r="K259" s="3" t="s">
        <v>21</v>
      </c>
      <c r="L259" s="3" t="s">
        <v>15</v>
      </c>
      <c r="M259" s="3" t="s">
        <v>795</v>
      </c>
      <c r="N259" s="3" t="s">
        <v>796</v>
      </c>
      <c r="O259" s="3" t="s">
        <v>39</v>
      </c>
      <c r="P259" s="3">
        <v>1743.12</v>
      </c>
      <c r="Q259" s="3">
        <v>8</v>
      </c>
      <c r="R259" s="3">
        <v>108.73</v>
      </c>
      <c r="S259" s="3">
        <v>0.28000000000000003</v>
      </c>
    </row>
    <row r="260" spans="8:19">
      <c r="H260" s="3" t="s">
        <v>797</v>
      </c>
      <c r="I260" s="25">
        <v>45690</v>
      </c>
      <c r="J260" s="3" t="s">
        <v>20</v>
      </c>
      <c r="K260" s="3" t="s">
        <v>14</v>
      </c>
      <c r="L260" s="3" t="s">
        <v>15</v>
      </c>
      <c r="M260" s="3" t="s">
        <v>798</v>
      </c>
      <c r="N260" s="3" t="s">
        <v>799</v>
      </c>
      <c r="O260" s="3" t="s">
        <v>35</v>
      </c>
      <c r="P260" s="3">
        <v>805.06</v>
      </c>
      <c r="Q260" s="3">
        <v>6</v>
      </c>
      <c r="R260" s="3">
        <v>202.78</v>
      </c>
      <c r="S260" s="3">
        <v>7.0000000000000007E-2</v>
      </c>
    </row>
    <row r="261" spans="8:19">
      <c r="H261" s="3" t="s">
        <v>800</v>
      </c>
      <c r="I261" s="25">
        <v>45984</v>
      </c>
      <c r="J261" s="3" t="s">
        <v>28</v>
      </c>
      <c r="K261" s="3" t="s">
        <v>32</v>
      </c>
      <c r="L261" s="3" t="s">
        <v>15</v>
      </c>
      <c r="M261" s="3" t="s">
        <v>801</v>
      </c>
      <c r="N261" s="3" t="s">
        <v>802</v>
      </c>
      <c r="O261" s="3" t="s">
        <v>35</v>
      </c>
      <c r="P261" s="3">
        <v>157.41999999999999</v>
      </c>
      <c r="Q261" s="3">
        <v>9</v>
      </c>
      <c r="R261" s="3">
        <v>15.3</v>
      </c>
      <c r="S261" s="3">
        <v>0.03</v>
      </c>
    </row>
    <row r="262" spans="8:19">
      <c r="H262" s="3" t="s">
        <v>803</v>
      </c>
      <c r="I262" s="25">
        <v>45971</v>
      </c>
      <c r="J262" s="3" t="s">
        <v>28</v>
      </c>
      <c r="K262" s="3" t="s">
        <v>32</v>
      </c>
      <c r="L262" s="3" t="s">
        <v>15</v>
      </c>
      <c r="M262" s="3" t="s">
        <v>804</v>
      </c>
      <c r="N262" s="3" t="s">
        <v>805</v>
      </c>
      <c r="O262" s="3" t="s">
        <v>39</v>
      </c>
      <c r="P262" s="3">
        <v>1729.7</v>
      </c>
      <c r="Q262" s="3">
        <v>3</v>
      </c>
      <c r="R262" s="3">
        <v>167.52</v>
      </c>
      <c r="S262" s="3">
        <v>0.27</v>
      </c>
    </row>
    <row r="263" spans="8:19">
      <c r="H263" s="3" t="s">
        <v>806</v>
      </c>
      <c r="I263" s="25">
        <v>45829</v>
      </c>
      <c r="J263" s="3" t="s">
        <v>13</v>
      </c>
      <c r="K263" s="3" t="s">
        <v>21</v>
      </c>
      <c r="L263" s="3" t="s">
        <v>15</v>
      </c>
      <c r="M263" s="3" t="s">
        <v>807</v>
      </c>
      <c r="N263" s="3" t="s">
        <v>808</v>
      </c>
      <c r="O263" s="3" t="s">
        <v>35</v>
      </c>
      <c r="P263" s="3">
        <v>754.44</v>
      </c>
      <c r="Q263" s="3">
        <v>2</v>
      </c>
      <c r="R263" s="3">
        <v>181.51</v>
      </c>
      <c r="S263" s="3">
        <v>0.09</v>
      </c>
    </row>
    <row r="264" spans="8:19">
      <c r="H264" s="3" t="s">
        <v>809</v>
      </c>
      <c r="I264" s="25">
        <v>45835</v>
      </c>
      <c r="J264" s="3" t="s">
        <v>20</v>
      </c>
      <c r="K264" s="3" t="s">
        <v>21</v>
      </c>
      <c r="L264" s="3" t="s">
        <v>15</v>
      </c>
      <c r="M264" s="3" t="s">
        <v>810</v>
      </c>
      <c r="N264" s="3" t="s">
        <v>811</v>
      </c>
      <c r="O264" s="3" t="s">
        <v>18</v>
      </c>
      <c r="P264" s="3">
        <v>947.57</v>
      </c>
      <c r="Q264" s="3">
        <v>2</v>
      </c>
      <c r="R264" s="3">
        <v>290.12</v>
      </c>
      <c r="S264" s="3">
        <v>0.2</v>
      </c>
    </row>
    <row r="265" spans="8:19">
      <c r="H265" s="3" t="s">
        <v>812</v>
      </c>
      <c r="I265" s="25">
        <v>45676</v>
      </c>
      <c r="J265" s="3" t="s">
        <v>13</v>
      </c>
      <c r="K265" s="3" t="s">
        <v>21</v>
      </c>
      <c r="L265" s="3" t="s">
        <v>15</v>
      </c>
      <c r="M265" s="3" t="s">
        <v>813</v>
      </c>
      <c r="N265" s="3" t="s">
        <v>814</v>
      </c>
      <c r="O265" s="3" t="s">
        <v>35</v>
      </c>
      <c r="P265" s="3">
        <v>119.24</v>
      </c>
      <c r="Q265" s="3">
        <v>7</v>
      </c>
      <c r="R265" s="3">
        <v>38.68</v>
      </c>
      <c r="S265" s="3">
        <v>0.25</v>
      </c>
    </row>
    <row r="266" spans="8:19">
      <c r="H266" s="3" t="s">
        <v>815</v>
      </c>
      <c r="I266" s="25">
        <v>45796</v>
      </c>
      <c r="J266" s="3" t="s">
        <v>20</v>
      </c>
      <c r="K266" s="3" t="s">
        <v>14</v>
      </c>
      <c r="L266" s="3" t="s">
        <v>15</v>
      </c>
      <c r="M266" s="3" t="s">
        <v>816</v>
      </c>
      <c r="N266" s="3" t="s">
        <v>817</v>
      </c>
      <c r="O266" s="3" t="s">
        <v>18</v>
      </c>
      <c r="P266" s="3">
        <v>1388</v>
      </c>
      <c r="Q266" s="3">
        <v>10</v>
      </c>
      <c r="R266" s="3">
        <v>176.2</v>
      </c>
      <c r="S266" s="3">
        <v>0.14000000000000001</v>
      </c>
    </row>
    <row r="267" spans="8:19">
      <c r="H267" s="3" t="s">
        <v>818</v>
      </c>
      <c r="I267" s="25">
        <v>45662</v>
      </c>
      <c r="J267" s="3" t="s">
        <v>41</v>
      </c>
      <c r="K267" s="3" t="s">
        <v>21</v>
      </c>
      <c r="L267" s="3" t="s">
        <v>15</v>
      </c>
      <c r="M267" s="3" t="s">
        <v>819</v>
      </c>
      <c r="N267" s="3" t="s">
        <v>820</v>
      </c>
      <c r="O267" s="3" t="s">
        <v>39</v>
      </c>
      <c r="P267" s="3">
        <v>977.09</v>
      </c>
      <c r="Q267" s="3">
        <v>5</v>
      </c>
      <c r="R267" s="3">
        <v>85.93</v>
      </c>
      <c r="S267" s="3">
        <v>0.11</v>
      </c>
    </row>
    <row r="268" spans="8:19">
      <c r="H268" s="3" t="s">
        <v>821</v>
      </c>
      <c r="I268" s="25">
        <v>45671</v>
      </c>
      <c r="J268" s="3" t="s">
        <v>28</v>
      </c>
      <c r="K268" s="3" t="s">
        <v>14</v>
      </c>
      <c r="L268" s="3" t="s">
        <v>15</v>
      </c>
      <c r="M268" s="3" t="s">
        <v>822</v>
      </c>
      <c r="N268" s="3" t="s">
        <v>823</v>
      </c>
      <c r="O268" s="3" t="s">
        <v>35</v>
      </c>
      <c r="P268" s="3">
        <v>143.51</v>
      </c>
      <c r="Q268" s="3">
        <v>9</v>
      </c>
      <c r="R268" s="3">
        <v>22.28</v>
      </c>
      <c r="S268" s="3">
        <v>0.1</v>
      </c>
    </row>
    <row r="269" spans="8:19">
      <c r="H269" s="3" t="s">
        <v>824</v>
      </c>
      <c r="I269" s="25">
        <v>45780</v>
      </c>
      <c r="J269" s="3" t="s">
        <v>41</v>
      </c>
      <c r="K269" s="3" t="s">
        <v>14</v>
      </c>
      <c r="L269" s="3" t="s">
        <v>15</v>
      </c>
      <c r="M269" s="3" t="s">
        <v>825</v>
      </c>
      <c r="N269" s="3" t="s">
        <v>826</v>
      </c>
      <c r="O269" s="3" t="s">
        <v>18</v>
      </c>
      <c r="P269" s="3">
        <v>159.16</v>
      </c>
      <c r="Q269" s="3">
        <v>4</v>
      </c>
      <c r="R269" s="3">
        <v>46.44</v>
      </c>
      <c r="S269" s="3">
        <v>0.27</v>
      </c>
    </row>
    <row r="270" spans="8:19">
      <c r="H270" s="3" t="s">
        <v>827</v>
      </c>
      <c r="I270" s="25">
        <v>45810</v>
      </c>
      <c r="J270" s="3" t="s">
        <v>13</v>
      </c>
      <c r="K270" s="3" t="s">
        <v>21</v>
      </c>
      <c r="L270" s="3" t="s">
        <v>15</v>
      </c>
      <c r="M270" s="3" t="s">
        <v>828</v>
      </c>
      <c r="N270" s="3" t="s">
        <v>829</v>
      </c>
      <c r="O270" s="3" t="s">
        <v>18</v>
      </c>
      <c r="P270" s="3">
        <v>1103.1500000000001</v>
      </c>
      <c r="Q270" s="3">
        <v>3</v>
      </c>
      <c r="R270" s="3">
        <v>136.11000000000001</v>
      </c>
      <c r="S270" s="3">
        <v>0.11</v>
      </c>
    </row>
    <row r="271" spans="8:19">
      <c r="H271" s="3" t="s">
        <v>830</v>
      </c>
      <c r="I271" s="25">
        <v>45831</v>
      </c>
      <c r="J271" s="3" t="s">
        <v>28</v>
      </c>
      <c r="K271" s="3" t="s">
        <v>32</v>
      </c>
      <c r="L271" s="3" t="s">
        <v>15</v>
      </c>
      <c r="M271" s="3" t="s">
        <v>831</v>
      </c>
      <c r="N271" s="3" t="s">
        <v>832</v>
      </c>
      <c r="O271" s="3" t="s">
        <v>39</v>
      </c>
      <c r="P271" s="3">
        <v>1125.6500000000001</v>
      </c>
      <c r="Q271" s="3">
        <v>4</v>
      </c>
      <c r="R271" s="3">
        <v>316.87</v>
      </c>
      <c r="S271" s="3">
        <v>0.24</v>
      </c>
    </row>
    <row r="272" spans="8:19">
      <c r="H272" s="3" t="s">
        <v>833</v>
      </c>
      <c r="I272" s="25">
        <v>45927</v>
      </c>
      <c r="J272" s="3" t="s">
        <v>13</v>
      </c>
      <c r="K272" s="3" t="s">
        <v>14</v>
      </c>
      <c r="L272" s="3" t="s">
        <v>15</v>
      </c>
      <c r="M272" s="3" t="s">
        <v>834</v>
      </c>
      <c r="N272" s="3" t="s">
        <v>835</v>
      </c>
      <c r="O272" s="3" t="s">
        <v>39</v>
      </c>
      <c r="P272" s="3">
        <v>1582.69</v>
      </c>
      <c r="Q272" s="3">
        <v>6</v>
      </c>
      <c r="R272" s="3">
        <v>129.41999999999999</v>
      </c>
      <c r="S272" s="3">
        <v>0</v>
      </c>
    </row>
    <row r="273" spans="8:19">
      <c r="H273" s="3" t="s">
        <v>836</v>
      </c>
      <c r="I273" s="25">
        <v>46010</v>
      </c>
      <c r="J273" s="3" t="s">
        <v>41</v>
      </c>
      <c r="K273" s="3" t="s">
        <v>32</v>
      </c>
      <c r="L273" s="3" t="s">
        <v>15</v>
      </c>
      <c r="M273" s="3" t="s">
        <v>837</v>
      </c>
      <c r="N273" s="3" t="s">
        <v>838</v>
      </c>
      <c r="O273" s="3" t="s">
        <v>39</v>
      </c>
      <c r="P273" s="3">
        <v>1536.31</v>
      </c>
      <c r="Q273" s="3">
        <v>7</v>
      </c>
      <c r="R273" s="3">
        <v>538.41999999999996</v>
      </c>
      <c r="S273" s="3">
        <v>0.27</v>
      </c>
    </row>
    <row r="274" spans="8:19">
      <c r="H274" s="3" t="s">
        <v>839</v>
      </c>
      <c r="I274" s="25">
        <v>45829</v>
      </c>
      <c r="J274" s="3" t="s">
        <v>28</v>
      </c>
      <c r="K274" s="3" t="s">
        <v>32</v>
      </c>
      <c r="L274" s="3" t="s">
        <v>15</v>
      </c>
      <c r="M274" s="3" t="s">
        <v>840</v>
      </c>
      <c r="N274" s="3" t="s">
        <v>841</v>
      </c>
      <c r="O274" s="3" t="s">
        <v>18</v>
      </c>
      <c r="P274" s="3">
        <v>516.5</v>
      </c>
      <c r="Q274" s="3">
        <v>5</v>
      </c>
      <c r="R274" s="3">
        <v>137.47999999999999</v>
      </c>
      <c r="S274" s="3">
        <v>0.23</v>
      </c>
    </row>
    <row r="275" spans="8:19">
      <c r="H275" s="3" t="s">
        <v>842</v>
      </c>
      <c r="I275" s="25">
        <v>45758</v>
      </c>
      <c r="J275" s="3" t="s">
        <v>28</v>
      </c>
      <c r="K275" s="3" t="s">
        <v>32</v>
      </c>
      <c r="L275" s="3" t="s">
        <v>15</v>
      </c>
      <c r="M275" s="3" t="s">
        <v>843</v>
      </c>
      <c r="N275" s="3" t="s">
        <v>844</v>
      </c>
      <c r="O275" s="3" t="s">
        <v>35</v>
      </c>
      <c r="P275" s="3">
        <v>1027.95</v>
      </c>
      <c r="Q275" s="3">
        <v>4</v>
      </c>
      <c r="R275" s="3">
        <v>304.58999999999997</v>
      </c>
      <c r="S275" s="3">
        <v>0.1</v>
      </c>
    </row>
    <row r="276" spans="8:19">
      <c r="H276" s="3" t="s">
        <v>845</v>
      </c>
      <c r="I276" s="25">
        <v>46005</v>
      </c>
      <c r="J276" s="3" t="s">
        <v>13</v>
      </c>
      <c r="K276" s="3" t="s">
        <v>21</v>
      </c>
      <c r="L276" s="3" t="s">
        <v>15</v>
      </c>
      <c r="M276" s="3" t="s">
        <v>846</v>
      </c>
      <c r="N276" s="3" t="s">
        <v>847</v>
      </c>
      <c r="O276" s="3" t="s">
        <v>35</v>
      </c>
      <c r="P276" s="3">
        <v>1720.18</v>
      </c>
      <c r="Q276" s="3">
        <v>6</v>
      </c>
      <c r="R276" s="3">
        <v>316.95999999999998</v>
      </c>
      <c r="S276" s="3">
        <v>0.26</v>
      </c>
    </row>
    <row r="277" spans="8:19">
      <c r="H277" s="3" t="s">
        <v>848</v>
      </c>
      <c r="I277" s="25">
        <v>45895</v>
      </c>
      <c r="J277" s="3" t="s">
        <v>28</v>
      </c>
      <c r="K277" s="3" t="s">
        <v>14</v>
      </c>
      <c r="L277" s="3" t="s">
        <v>15</v>
      </c>
      <c r="M277" s="3" t="s">
        <v>849</v>
      </c>
      <c r="N277" s="3" t="s">
        <v>850</v>
      </c>
      <c r="O277" s="3" t="s">
        <v>18</v>
      </c>
      <c r="P277" s="3">
        <v>788.54</v>
      </c>
      <c r="Q277" s="3">
        <v>7</v>
      </c>
      <c r="R277" s="3">
        <v>281.13</v>
      </c>
      <c r="S277" s="3">
        <v>0.21</v>
      </c>
    </row>
    <row r="278" spans="8:19">
      <c r="H278" s="3" t="s">
        <v>851</v>
      </c>
      <c r="I278" s="25">
        <v>45718</v>
      </c>
      <c r="J278" s="3" t="s">
        <v>13</v>
      </c>
      <c r="K278" s="3" t="s">
        <v>21</v>
      </c>
      <c r="L278" s="3" t="s">
        <v>15</v>
      </c>
      <c r="M278" s="3" t="s">
        <v>852</v>
      </c>
      <c r="N278" s="3" t="s">
        <v>853</v>
      </c>
      <c r="O278" s="3" t="s">
        <v>35</v>
      </c>
      <c r="P278" s="3">
        <v>824.11</v>
      </c>
      <c r="Q278" s="3">
        <v>3</v>
      </c>
      <c r="R278" s="3">
        <v>145.34</v>
      </c>
      <c r="S278" s="3">
        <v>0.06</v>
      </c>
    </row>
    <row r="279" spans="8:19">
      <c r="H279" s="3" t="s">
        <v>854</v>
      </c>
      <c r="I279" s="25">
        <v>45668</v>
      </c>
      <c r="J279" s="3" t="s">
        <v>13</v>
      </c>
      <c r="K279" s="3" t="s">
        <v>21</v>
      </c>
      <c r="L279" s="3" t="s">
        <v>15</v>
      </c>
      <c r="M279" s="3" t="s">
        <v>855</v>
      </c>
      <c r="N279" s="3" t="s">
        <v>856</v>
      </c>
      <c r="O279" s="3" t="s">
        <v>39</v>
      </c>
      <c r="P279" s="3">
        <v>1473.99</v>
      </c>
      <c r="Q279" s="3">
        <v>2</v>
      </c>
      <c r="R279" s="3">
        <v>105.48</v>
      </c>
      <c r="S279" s="3">
        <v>0.18</v>
      </c>
    </row>
    <row r="280" spans="8:19">
      <c r="H280" s="3" t="s">
        <v>857</v>
      </c>
      <c r="I280" s="25">
        <v>45794</v>
      </c>
      <c r="J280" s="3" t="s">
        <v>28</v>
      </c>
      <c r="K280" s="3" t="s">
        <v>21</v>
      </c>
      <c r="L280" s="3" t="s">
        <v>15</v>
      </c>
      <c r="M280" s="3" t="s">
        <v>858</v>
      </c>
      <c r="N280" s="3" t="s">
        <v>859</v>
      </c>
      <c r="O280" s="3" t="s">
        <v>18</v>
      </c>
      <c r="P280" s="3">
        <v>1968.45</v>
      </c>
      <c r="Q280" s="3">
        <v>7</v>
      </c>
      <c r="R280" s="3">
        <v>672.5</v>
      </c>
      <c r="S280" s="3">
        <v>0.1</v>
      </c>
    </row>
    <row r="281" spans="8:19">
      <c r="H281" s="3" t="s">
        <v>860</v>
      </c>
      <c r="I281" s="25">
        <v>45724</v>
      </c>
      <c r="J281" s="3" t="s">
        <v>28</v>
      </c>
      <c r="K281" s="3" t="s">
        <v>14</v>
      </c>
      <c r="L281" s="3" t="s">
        <v>15</v>
      </c>
      <c r="M281" s="3" t="s">
        <v>861</v>
      </c>
      <c r="N281" s="3" t="s">
        <v>862</v>
      </c>
      <c r="O281" s="3" t="s">
        <v>39</v>
      </c>
      <c r="P281" s="3">
        <v>1389.35</v>
      </c>
      <c r="Q281" s="3">
        <v>1</v>
      </c>
      <c r="R281" s="3">
        <v>206.26</v>
      </c>
      <c r="S281" s="3">
        <v>0.23</v>
      </c>
    </row>
    <row r="282" spans="8:19">
      <c r="H282" s="3" t="s">
        <v>863</v>
      </c>
      <c r="I282" s="25">
        <v>45749</v>
      </c>
      <c r="J282" s="3" t="s">
        <v>28</v>
      </c>
      <c r="K282" s="3" t="s">
        <v>14</v>
      </c>
      <c r="L282" s="3" t="s">
        <v>15</v>
      </c>
      <c r="M282" s="3" t="s">
        <v>864</v>
      </c>
      <c r="N282" s="3" t="s">
        <v>865</v>
      </c>
      <c r="O282" s="3" t="s">
        <v>18</v>
      </c>
      <c r="P282" s="3">
        <v>1295.51</v>
      </c>
      <c r="Q282" s="3">
        <v>8</v>
      </c>
      <c r="R282" s="3">
        <v>102.56</v>
      </c>
      <c r="S282" s="3">
        <v>0.06</v>
      </c>
    </row>
    <row r="283" spans="8:19">
      <c r="H283" s="3" t="s">
        <v>866</v>
      </c>
      <c r="I283" s="25">
        <v>45720</v>
      </c>
      <c r="J283" s="3" t="s">
        <v>41</v>
      </c>
      <c r="K283" s="3" t="s">
        <v>32</v>
      </c>
      <c r="L283" s="3" t="s">
        <v>15</v>
      </c>
      <c r="M283" s="3" t="s">
        <v>867</v>
      </c>
      <c r="N283" s="3" t="s">
        <v>868</v>
      </c>
      <c r="O283" s="3" t="s">
        <v>35</v>
      </c>
      <c r="P283" s="3">
        <v>983.68</v>
      </c>
      <c r="Q283" s="3">
        <v>6</v>
      </c>
      <c r="R283" s="3">
        <v>60.81</v>
      </c>
      <c r="S283" s="3">
        <v>0.26</v>
      </c>
    </row>
    <row r="284" spans="8:19">
      <c r="H284" s="3" t="s">
        <v>869</v>
      </c>
      <c r="I284" s="25">
        <v>45861</v>
      </c>
      <c r="J284" s="3" t="s">
        <v>28</v>
      </c>
      <c r="K284" s="3" t="s">
        <v>14</v>
      </c>
      <c r="L284" s="3" t="s">
        <v>15</v>
      </c>
      <c r="M284" s="3" t="s">
        <v>870</v>
      </c>
      <c r="N284" s="3" t="s">
        <v>871</v>
      </c>
      <c r="O284" s="3" t="s">
        <v>39</v>
      </c>
      <c r="P284" s="3">
        <v>1144.33</v>
      </c>
      <c r="Q284" s="3">
        <v>7</v>
      </c>
      <c r="R284" s="3">
        <v>288.48</v>
      </c>
      <c r="S284" s="3">
        <v>0.05</v>
      </c>
    </row>
    <row r="285" spans="8:19">
      <c r="H285" s="3" t="s">
        <v>872</v>
      </c>
      <c r="I285" s="25">
        <v>45728</v>
      </c>
      <c r="J285" s="3" t="s">
        <v>13</v>
      </c>
      <c r="K285" s="3" t="s">
        <v>14</v>
      </c>
      <c r="L285" s="3" t="s">
        <v>15</v>
      </c>
      <c r="M285" s="3" t="s">
        <v>873</v>
      </c>
      <c r="N285" s="3" t="s">
        <v>874</v>
      </c>
      <c r="O285" s="3" t="s">
        <v>39</v>
      </c>
      <c r="P285" s="3">
        <v>1186.7</v>
      </c>
      <c r="Q285" s="3">
        <v>1</v>
      </c>
      <c r="R285" s="3">
        <v>287.36</v>
      </c>
      <c r="S285" s="3">
        <v>0.26</v>
      </c>
    </row>
    <row r="286" spans="8:19">
      <c r="H286" s="3" t="s">
        <v>875</v>
      </c>
      <c r="I286" s="25">
        <v>45821</v>
      </c>
      <c r="J286" s="3" t="s">
        <v>13</v>
      </c>
      <c r="K286" s="3" t="s">
        <v>21</v>
      </c>
      <c r="L286" s="3" t="s">
        <v>15</v>
      </c>
      <c r="M286" s="3" t="s">
        <v>876</v>
      </c>
      <c r="N286" s="3" t="s">
        <v>877</v>
      </c>
      <c r="O286" s="3" t="s">
        <v>18</v>
      </c>
      <c r="P286" s="3">
        <v>1109.45</v>
      </c>
      <c r="Q286" s="3">
        <v>1</v>
      </c>
      <c r="R286" s="3">
        <v>240.09</v>
      </c>
      <c r="S286" s="3">
        <v>0.16</v>
      </c>
    </row>
    <row r="287" spans="8:19">
      <c r="H287" s="3" t="s">
        <v>878</v>
      </c>
      <c r="I287" s="25">
        <v>45784</v>
      </c>
      <c r="J287" s="3" t="s">
        <v>28</v>
      </c>
      <c r="K287" s="3" t="s">
        <v>14</v>
      </c>
      <c r="L287" s="3" t="s">
        <v>15</v>
      </c>
      <c r="M287" s="3" t="s">
        <v>879</v>
      </c>
      <c r="N287" s="3" t="s">
        <v>880</v>
      </c>
      <c r="O287" s="3" t="s">
        <v>35</v>
      </c>
      <c r="P287" s="3">
        <v>1372.15</v>
      </c>
      <c r="Q287" s="3">
        <v>2</v>
      </c>
      <c r="R287" s="3">
        <v>284.16000000000003</v>
      </c>
      <c r="S287" s="3">
        <v>0.14000000000000001</v>
      </c>
    </row>
    <row r="288" spans="8:19">
      <c r="H288" s="3" t="s">
        <v>881</v>
      </c>
      <c r="I288" s="25">
        <v>45818</v>
      </c>
      <c r="J288" s="3" t="s">
        <v>41</v>
      </c>
      <c r="K288" s="3" t="s">
        <v>32</v>
      </c>
      <c r="L288" s="3" t="s">
        <v>15</v>
      </c>
      <c r="M288" s="3" t="s">
        <v>882</v>
      </c>
      <c r="N288" s="3" t="s">
        <v>883</v>
      </c>
      <c r="O288" s="3" t="s">
        <v>35</v>
      </c>
      <c r="P288" s="3">
        <v>1005.32</v>
      </c>
      <c r="Q288" s="3">
        <v>1</v>
      </c>
      <c r="R288" s="3">
        <v>78.790000000000006</v>
      </c>
      <c r="S288" s="3">
        <v>0.25</v>
      </c>
    </row>
    <row r="289" spans="8:19">
      <c r="H289" s="3" t="s">
        <v>884</v>
      </c>
      <c r="I289" s="25">
        <v>45881</v>
      </c>
      <c r="J289" s="3" t="s">
        <v>13</v>
      </c>
      <c r="K289" s="3" t="s">
        <v>14</v>
      </c>
      <c r="L289" s="3" t="s">
        <v>15</v>
      </c>
      <c r="M289" s="3" t="s">
        <v>885</v>
      </c>
      <c r="N289" s="3" t="s">
        <v>886</v>
      </c>
      <c r="O289" s="3" t="s">
        <v>35</v>
      </c>
      <c r="P289" s="3">
        <v>640.55999999999995</v>
      </c>
      <c r="Q289" s="3">
        <v>9</v>
      </c>
      <c r="R289" s="3">
        <v>137.06</v>
      </c>
      <c r="S289" s="3">
        <v>0.04</v>
      </c>
    </row>
    <row r="290" spans="8:19">
      <c r="H290" s="3" t="s">
        <v>887</v>
      </c>
      <c r="I290" s="25">
        <v>45704</v>
      </c>
      <c r="J290" s="3" t="s">
        <v>28</v>
      </c>
      <c r="K290" s="3" t="s">
        <v>14</v>
      </c>
      <c r="L290" s="3" t="s">
        <v>15</v>
      </c>
      <c r="M290" s="3" t="s">
        <v>888</v>
      </c>
      <c r="N290" s="3" t="s">
        <v>889</v>
      </c>
      <c r="O290" s="3" t="s">
        <v>39</v>
      </c>
      <c r="P290" s="3">
        <v>489.75</v>
      </c>
      <c r="Q290" s="3">
        <v>7</v>
      </c>
      <c r="R290" s="3">
        <v>186.92</v>
      </c>
      <c r="S290" s="3">
        <v>0.16</v>
      </c>
    </row>
    <row r="291" spans="8:19">
      <c r="H291" s="3" t="s">
        <v>890</v>
      </c>
      <c r="I291" s="25">
        <v>45993</v>
      </c>
      <c r="J291" s="3" t="s">
        <v>13</v>
      </c>
      <c r="K291" s="3" t="s">
        <v>21</v>
      </c>
      <c r="L291" s="3" t="s">
        <v>15</v>
      </c>
      <c r="M291" s="3" t="s">
        <v>891</v>
      </c>
      <c r="N291" s="3" t="s">
        <v>892</v>
      </c>
      <c r="O291" s="3" t="s">
        <v>35</v>
      </c>
      <c r="P291" s="3">
        <v>1257.17</v>
      </c>
      <c r="Q291" s="3">
        <v>4</v>
      </c>
      <c r="R291" s="3">
        <v>146.94999999999999</v>
      </c>
      <c r="S291" s="3">
        <v>0.2</v>
      </c>
    </row>
    <row r="292" spans="8:19">
      <c r="H292" s="3" t="s">
        <v>893</v>
      </c>
      <c r="I292" s="25">
        <v>45799</v>
      </c>
      <c r="J292" s="3" t="s">
        <v>20</v>
      </c>
      <c r="K292" s="3" t="s">
        <v>14</v>
      </c>
      <c r="L292" s="3" t="s">
        <v>15</v>
      </c>
      <c r="M292" s="3" t="s">
        <v>894</v>
      </c>
      <c r="N292" s="3" t="s">
        <v>895</v>
      </c>
      <c r="O292" s="3" t="s">
        <v>35</v>
      </c>
      <c r="P292" s="3">
        <v>837.96</v>
      </c>
      <c r="Q292" s="3">
        <v>6</v>
      </c>
      <c r="R292" s="3">
        <v>233.62</v>
      </c>
      <c r="S292" s="3">
        <v>0.19</v>
      </c>
    </row>
    <row r="293" spans="8:19">
      <c r="H293" s="3" t="s">
        <v>896</v>
      </c>
      <c r="I293" s="25">
        <v>45828</v>
      </c>
      <c r="J293" s="3" t="s">
        <v>20</v>
      </c>
      <c r="K293" s="3" t="s">
        <v>21</v>
      </c>
      <c r="L293" s="3" t="s">
        <v>15</v>
      </c>
      <c r="M293" s="3" t="s">
        <v>897</v>
      </c>
      <c r="N293" s="3" t="s">
        <v>898</v>
      </c>
      <c r="O293" s="3" t="s">
        <v>35</v>
      </c>
      <c r="P293" s="3">
        <v>860.7</v>
      </c>
      <c r="Q293" s="3">
        <v>1</v>
      </c>
      <c r="R293" s="3">
        <v>162.71</v>
      </c>
      <c r="S293" s="3">
        <v>0.04</v>
      </c>
    </row>
    <row r="294" spans="8:19">
      <c r="H294" s="3" t="s">
        <v>899</v>
      </c>
      <c r="I294" s="25">
        <v>45832</v>
      </c>
      <c r="J294" s="3" t="s">
        <v>13</v>
      </c>
      <c r="K294" s="3" t="s">
        <v>32</v>
      </c>
      <c r="L294" s="3" t="s">
        <v>15</v>
      </c>
      <c r="M294" s="3" t="s">
        <v>900</v>
      </c>
      <c r="N294" s="3" t="s">
        <v>901</v>
      </c>
      <c r="O294" s="3" t="s">
        <v>18</v>
      </c>
      <c r="P294" s="3">
        <v>441.54</v>
      </c>
      <c r="Q294" s="3">
        <v>8</v>
      </c>
      <c r="R294" s="3">
        <v>76.69</v>
      </c>
      <c r="S294" s="3">
        <v>0.25</v>
      </c>
    </row>
    <row r="295" spans="8:19">
      <c r="H295" s="3" t="s">
        <v>902</v>
      </c>
      <c r="I295" s="25">
        <v>45895</v>
      </c>
      <c r="J295" s="3" t="s">
        <v>20</v>
      </c>
      <c r="K295" s="3" t="s">
        <v>32</v>
      </c>
      <c r="L295" s="3" t="s">
        <v>15</v>
      </c>
      <c r="M295" s="3" t="s">
        <v>903</v>
      </c>
      <c r="N295" s="3" t="s">
        <v>904</v>
      </c>
      <c r="O295" s="3" t="s">
        <v>18</v>
      </c>
      <c r="P295" s="3">
        <v>1813.17</v>
      </c>
      <c r="Q295" s="3">
        <v>7</v>
      </c>
      <c r="R295" s="3">
        <v>579.05999999999995</v>
      </c>
      <c r="S295" s="3">
        <v>0.05</v>
      </c>
    </row>
    <row r="296" spans="8:19">
      <c r="H296" s="3" t="s">
        <v>905</v>
      </c>
      <c r="I296" s="25">
        <v>45736</v>
      </c>
      <c r="J296" s="3" t="s">
        <v>41</v>
      </c>
      <c r="K296" s="3" t="s">
        <v>21</v>
      </c>
      <c r="L296" s="3" t="s">
        <v>15</v>
      </c>
      <c r="M296" s="3" t="s">
        <v>906</v>
      </c>
      <c r="N296" s="3" t="s">
        <v>907</v>
      </c>
      <c r="O296" s="3" t="s">
        <v>39</v>
      </c>
      <c r="P296" s="3">
        <v>576.21</v>
      </c>
      <c r="Q296" s="3">
        <v>6</v>
      </c>
      <c r="R296" s="3">
        <v>188.76</v>
      </c>
      <c r="S296" s="3">
        <v>0.16</v>
      </c>
    </row>
    <row r="297" spans="8:19">
      <c r="H297" s="3" t="s">
        <v>908</v>
      </c>
      <c r="I297" s="25">
        <v>46018</v>
      </c>
      <c r="J297" s="3" t="s">
        <v>20</v>
      </c>
      <c r="K297" s="3" t="s">
        <v>32</v>
      </c>
      <c r="L297" s="3" t="s">
        <v>15</v>
      </c>
      <c r="M297" s="3" t="s">
        <v>909</v>
      </c>
      <c r="N297" s="3" t="s">
        <v>910</v>
      </c>
      <c r="O297" s="3" t="s">
        <v>39</v>
      </c>
      <c r="P297" s="3">
        <v>1849.88</v>
      </c>
      <c r="Q297" s="3">
        <v>2</v>
      </c>
      <c r="R297" s="3">
        <v>599.6</v>
      </c>
      <c r="S297" s="3">
        <v>0.14000000000000001</v>
      </c>
    </row>
    <row r="298" spans="8:19">
      <c r="H298" s="3" t="s">
        <v>911</v>
      </c>
      <c r="I298" s="25">
        <v>45904</v>
      </c>
      <c r="J298" s="3" t="s">
        <v>20</v>
      </c>
      <c r="K298" s="3" t="s">
        <v>32</v>
      </c>
      <c r="L298" s="3" t="s">
        <v>15</v>
      </c>
      <c r="M298" s="3" t="s">
        <v>912</v>
      </c>
      <c r="N298" s="3" t="s">
        <v>913</v>
      </c>
      <c r="O298" s="3" t="s">
        <v>39</v>
      </c>
      <c r="P298" s="3">
        <v>1076.32</v>
      </c>
      <c r="Q298" s="3">
        <v>1</v>
      </c>
      <c r="R298" s="3">
        <v>186.72</v>
      </c>
      <c r="S298" s="3">
        <v>0.12</v>
      </c>
    </row>
    <row r="299" spans="8:19">
      <c r="H299" s="3" t="s">
        <v>914</v>
      </c>
      <c r="I299" s="25">
        <v>45888</v>
      </c>
      <c r="J299" s="3" t="s">
        <v>41</v>
      </c>
      <c r="K299" s="3" t="s">
        <v>21</v>
      </c>
      <c r="L299" s="3" t="s">
        <v>15</v>
      </c>
      <c r="M299" s="3" t="s">
        <v>915</v>
      </c>
      <c r="N299" s="3" t="s">
        <v>916</v>
      </c>
      <c r="O299" s="3" t="s">
        <v>39</v>
      </c>
      <c r="P299" s="3">
        <v>550.77</v>
      </c>
      <c r="Q299" s="3">
        <v>2</v>
      </c>
      <c r="R299" s="3">
        <v>116.99</v>
      </c>
      <c r="S299" s="3">
        <v>0.23</v>
      </c>
    </row>
    <row r="300" spans="8:19">
      <c r="H300" s="3" t="s">
        <v>917</v>
      </c>
      <c r="I300" s="25">
        <v>45682</v>
      </c>
      <c r="J300" s="3" t="s">
        <v>13</v>
      </c>
      <c r="K300" s="3" t="s">
        <v>32</v>
      </c>
      <c r="L300" s="3" t="s">
        <v>15</v>
      </c>
      <c r="M300" s="3" t="s">
        <v>918</v>
      </c>
      <c r="N300" s="3" t="s">
        <v>919</v>
      </c>
      <c r="O300" s="3" t="s">
        <v>35</v>
      </c>
      <c r="P300" s="3">
        <v>1224.26</v>
      </c>
      <c r="Q300" s="3">
        <v>4</v>
      </c>
      <c r="R300" s="3">
        <v>237.68</v>
      </c>
      <c r="S300" s="3">
        <v>0.17</v>
      </c>
    </row>
    <row r="301" spans="8:19">
      <c r="H301" s="3" t="s">
        <v>920</v>
      </c>
      <c r="I301" s="25">
        <v>45740</v>
      </c>
      <c r="J301" s="3" t="s">
        <v>13</v>
      </c>
      <c r="K301" s="3" t="s">
        <v>32</v>
      </c>
      <c r="L301" s="3" t="s">
        <v>15</v>
      </c>
      <c r="M301" s="3" t="s">
        <v>921</v>
      </c>
      <c r="N301" s="3" t="s">
        <v>922</v>
      </c>
      <c r="O301" s="3" t="s">
        <v>35</v>
      </c>
      <c r="P301" s="3">
        <v>746.88</v>
      </c>
      <c r="Q301" s="3">
        <v>2</v>
      </c>
      <c r="R301" s="3">
        <v>278.83999999999997</v>
      </c>
      <c r="S301" s="3">
        <v>0.18</v>
      </c>
    </row>
    <row r="302" spans="8:19">
      <c r="H302" s="3" t="s">
        <v>923</v>
      </c>
      <c r="I302" s="25">
        <v>46010</v>
      </c>
      <c r="J302" s="3" t="s">
        <v>41</v>
      </c>
      <c r="K302" s="3" t="s">
        <v>14</v>
      </c>
      <c r="L302" s="3" t="s">
        <v>15</v>
      </c>
      <c r="M302" s="3" t="s">
        <v>924</v>
      </c>
      <c r="N302" s="3" t="s">
        <v>925</v>
      </c>
      <c r="O302" s="3" t="s">
        <v>39</v>
      </c>
      <c r="P302" s="3">
        <v>1987.93</v>
      </c>
      <c r="Q302" s="3">
        <v>8</v>
      </c>
      <c r="R302" s="3">
        <v>627.9</v>
      </c>
      <c r="S302" s="3">
        <v>0.03</v>
      </c>
    </row>
    <row r="303" spans="8:19">
      <c r="H303" s="3" t="s">
        <v>926</v>
      </c>
      <c r="I303" s="25">
        <v>45949</v>
      </c>
      <c r="J303" s="3" t="s">
        <v>28</v>
      </c>
      <c r="K303" s="3" t="s">
        <v>32</v>
      </c>
      <c r="L303" s="3" t="s">
        <v>15</v>
      </c>
      <c r="M303" s="3" t="s">
        <v>927</v>
      </c>
      <c r="N303" s="3" t="s">
        <v>928</v>
      </c>
      <c r="O303" s="3" t="s">
        <v>35</v>
      </c>
      <c r="P303" s="3">
        <v>1212.71</v>
      </c>
      <c r="Q303" s="3">
        <v>4</v>
      </c>
      <c r="R303" s="3">
        <v>460.52</v>
      </c>
      <c r="S303" s="3">
        <v>0.22</v>
      </c>
    </row>
    <row r="304" spans="8:19">
      <c r="H304" s="3" t="s">
        <v>929</v>
      </c>
      <c r="I304" s="25">
        <v>45788</v>
      </c>
      <c r="J304" s="3" t="s">
        <v>20</v>
      </c>
      <c r="K304" s="3" t="s">
        <v>21</v>
      </c>
      <c r="L304" s="3" t="s">
        <v>15</v>
      </c>
      <c r="M304" s="3" t="s">
        <v>930</v>
      </c>
      <c r="N304" s="3" t="s">
        <v>931</v>
      </c>
      <c r="O304" s="3" t="s">
        <v>39</v>
      </c>
      <c r="P304" s="3">
        <v>1060.56</v>
      </c>
      <c r="Q304" s="3">
        <v>1</v>
      </c>
      <c r="R304" s="3">
        <v>139.59</v>
      </c>
      <c r="S304" s="3">
        <v>0.19</v>
      </c>
    </row>
    <row r="305" spans="8:19">
      <c r="H305" s="3" t="s">
        <v>932</v>
      </c>
      <c r="I305" s="25">
        <v>45792</v>
      </c>
      <c r="J305" s="3" t="s">
        <v>20</v>
      </c>
      <c r="K305" s="3" t="s">
        <v>21</v>
      </c>
      <c r="L305" s="3" t="s">
        <v>15</v>
      </c>
      <c r="M305" s="3" t="s">
        <v>933</v>
      </c>
      <c r="N305" s="3" t="s">
        <v>934</v>
      </c>
      <c r="O305" s="3" t="s">
        <v>39</v>
      </c>
      <c r="P305" s="3">
        <v>1179.6300000000001</v>
      </c>
      <c r="Q305" s="3">
        <v>9</v>
      </c>
      <c r="R305" s="3">
        <v>83.97</v>
      </c>
      <c r="S305" s="3">
        <v>0.11</v>
      </c>
    </row>
    <row r="306" spans="8:19">
      <c r="H306" s="3" t="s">
        <v>935</v>
      </c>
      <c r="I306" s="25">
        <v>45801</v>
      </c>
      <c r="J306" s="3" t="s">
        <v>20</v>
      </c>
      <c r="K306" s="3" t="s">
        <v>21</v>
      </c>
      <c r="L306" s="3" t="s">
        <v>15</v>
      </c>
      <c r="M306" s="3" t="s">
        <v>936</v>
      </c>
      <c r="N306" s="3" t="s">
        <v>937</v>
      </c>
      <c r="O306" s="3" t="s">
        <v>35</v>
      </c>
      <c r="P306" s="3">
        <v>1364.11</v>
      </c>
      <c r="Q306" s="3">
        <v>9</v>
      </c>
      <c r="R306" s="3">
        <v>526.84</v>
      </c>
      <c r="S306" s="3">
        <v>0.18</v>
      </c>
    </row>
    <row r="307" spans="8:19">
      <c r="H307" s="3" t="s">
        <v>938</v>
      </c>
      <c r="I307" s="25">
        <v>45860</v>
      </c>
      <c r="J307" s="3" t="s">
        <v>13</v>
      </c>
      <c r="K307" s="3" t="s">
        <v>32</v>
      </c>
      <c r="L307" s="3" t="s">
        <v>15</v>
      </c>
      <c r="M307" s="3" t="s">
        <v>939</v>
      </c>
      <c r="N307" s="3" t="s">
        <v>940</v>
      </c>
      <c r="O307" s="3" t="s">
        <v>18</v>
      </c>
      <c r="P307" s="3">
        <v>1032.83</v>
      </c>
      <c r="Q307" s="3">
        <v>2</v>
      </c>
      <c r="R307" s="3">
        <v>247.92</v>
      </c>
      <c r="S307" s="3">
        <v>0.09</v>
      </c>
    </row>
    <row r="308" spans="8:19">
      <c r="H308" s="3" t="s">
        <v>941</v>
      </c>
      <c r="I308" s="25">
        <v>45939</v>
      </c>
      <c r="J308" s="3" t="s">
        <v>13</v>
      </c>
      <c r="K308" s="3" t="s">
        <v>32</v>
      </c>
      <c r="L308" s="3" t="s">
        <v>15</v>
      </c>
      <c r="M308" s="3" t="s">
        <v>942</v>
      </c>
      <c r="N308" s="3" t="s">
        <v>943</v>
      </c>
      <c r="O308" s="3" t="s">
        <v>39</v>
      </c>
      <c r="P308" s="3">
        <v>714.46</v>
      </c>
      <c r="Q308" s="3">
        <v>3</v>
      </c>
      <c r="R308" s="3">
        <v>168.81</v>
      </c>
      <c r="S308" s="3">
        <v>0.14000000000000001</v>
      </c>
    </row>
    <row r="309" spans="8:19">
      <c r="H309" s="3" t="s">
        <v>944</v>
      </c>
      <c r="I309" s="25">
        <v>46017</v>
      </c>
      <c r="J309" s="3" t="s">
        <v>41</v>
      </c>
      <c r="K309" s="3" t="s">
        <v>21</v>
      </c>
      <c r="L309" s="3" t="s">
        <v>15</v>
      </c>
      <c r="M309" s="3" t="s">
        <v>945</v>
      </c>
      <c r="N309" s="3" t="s">
        <v>946</v>
      </c>
      <c r="O309" s="3" t="s">
        <v>39</v>
      </c>
      <c r="P309" s="3">
        <v>1837.03</v>
      </c>
      <c r="Q309" s="3">
        <v>4</v>
      </c>
      <c r="R309" s="3">
        <v>726.12</v>
      </c>
      <c r="S309" s="3">
        <v>0.21</v>
      </c>
    </row>
    <row r="310" spans="8:19">
      <c r="H310" s="3" t="s">
        <v>947</v>
      </c>
      <c r="I310" s="25">
        <v>45663</v>
      </c>
      <c r="J310" s="3" t="s">
        <v>13</v>
      </c>
      <c r="K310" s="3" t="s">
        <v>14</v>
      </c>
      <c r="L310" s="3" t="s">
        <v>15</v>
      </c>
      <c r="M310" s="3" t="s">
        <v>948</v>
      </c>
      <c r="N310" s="3" t="s">
        <v>949</v>
      </c>
      <c r="O310" s="3" t="s">
        <v>35</v>
      </c>
      <c r="P310" s="3">
        <v>454.82</v>
      </c>
      <c r="Q310" s="3">
        <v>1</v>
      </c>
      <c r="R310" s="3">
        <v>163.19999999999999</v>
      </c>
      <c r="S310" s="3">
        <v>0.23</v>
      </c>
    </row>
    <row r="311" spans="8:19">
      <c r="H311" s="3" t="s">
        <v>950</v>
      </c>
      <c r="I311" s="25">
        <v>45888</v>
      </c>
      <c r="J311" s="3" t="s">
        <v>28</v>
      </c>
      <c r="K311" s="3" t="s">
        <v>14</v>
      </c>
      <c r="L311" s="3" t="s">
        <v>15</v>
      </c>
      <c r="M311" s="3" t="s">
        <v>951</v>
      </c>
      <c r="N311" s="3" t="s">
        <v>952</v>
      </c>
      <c r="O311" s="3" t="s">
        <v>39</v>
      </c>
      <c r="P311" s="3">
        <v>1816.8</v>
      </c>
      <c r="Q311" s="3">
        <v>5</v>
      </c>
      <c r="R311" s="3">
        <v>522.53</v>
      </c>
      <c r="S311" s="3">
        <v>0.13</v>
      </c>
    </row>
    <row r="312" spans="8:19">
      <c r="H312" s="3" t="s">
        <v>953</v>
      </c>
      <c r="I312" s="25">
        <v>45721</v>
      </c>
      <c r="J312" s="3" t="s">
        <v>41</v>
      </c>
      <c r="K312" s="3" t="s">
        <v>21</v>
      </c>
      <c r="L312" s="3" t="s">
        <v>15</v>
      </c>
      <c r="M312" s="3" t="s">
        <v>954</v>
      </c>
      <c r="N312" s="3" t="s">
        <v>955</v>
      </c>
      <c r="O312" s="3" t="s">
        <v>35</v>
      </c>
      <c r="P312" s="3">
        <v>1160.68</v>
      </c>
      <c r="Q312" s="3">
        <v>6</v>
      </c>
      <c r="R312" s="3">
        <v>359.24</v>
      </c>
      <c r="S312" s="3">
        <v>0.28000000000000003</v>
      </c>
    </row>
    <row r="313" spans="8:19">
      <c r="H313" s="3" t="s">
        <v>956</v>
      </c>
      <c r="I313" s="25">
        <v>45933</v>
      </c>
      <c r="J313" s="3" t="s">
        <v>20</v>
      </c>
      <c r="K313" s="3" t="s">
        <v>14</v>
      </c>
      <c r="L313" s="3" t="s">
        <v>15</v>
      </c>
      <c r="M313" s="3" t="s">
        <v>957</v>
      </c>
      <c r="N313" s="3" t="s">
        <v>958</v>
      </c>
      <c r="O313" s="3" t="s">
        <v>35</v>
      </c>
      <c r="P313" s="3">
        <v>1758.73</v>
      </c>
      <c r="Q313" s="3">
        <v>8</v>
      </c>
      <c r="R313" s="3">
        <v>210.05</v>
      </c>
      <c r="S313" s="3">
        <v>0.3</v>
      </c>
    </row>
    <row r="314" spans="8:19">
      <c r="H314" s="3" t="s">
        <v>959</v>
      </c>
      <c r="I314" s="25">
        <v>45800</v>
      </c>
      <c r="J314" s="3" t="s">
        <v>13</v>
      </c>
      <c r="K314" s="3" t="s">
        <v>32</v>
      </c>
      <c r="L314" s="3" t="s">
        <v>15</v>
      </c>
      <c r="M314" s="3" t="s">
        <v>960</v>
      </c>
      <c r="N314" s="3" t="s">
        <v>961</v>
      </c>
      <c r="O314" s="3" t="s">
        <v>39</v>
      </c>
      <c r="P314" s="3">
        <v>1335.75</v>
      </c>
      <c r="Q314" s="3">
        <v>4</v>
      </c>
      <c r="R314" s="3">
        <v>467.26</v>
      </c>
      <c r="S314" s="3">
        <v>0.3</v>
      </c>
    </row>
    <row r="315" spans="8:19">
      <c r="H315" s="3" t="s">
        <v>962</v>
      </c>
      <c r="I315" s="25">
        <v>45924</v>
      </c>
      <c r="J315" s="3" t="s">
        <v>28</v>
      </c>
      <c r="K315" s="3" t="s">
        <v>32</v>
      </c>
      <c r="L315" s="3" t="s">
        <v>15</v>
      </c>
      <c r="M315" s="3" t="s">
        <v>963</v>
      </c>
      <c r="N315" s="3" t="s">
        <v>964</v>
      </c>
      <c r="O315" s="3" t="s">
        <v>35</v>
      </c>
      <c r="P315" s="3">
        <v>333.18</v>
      </c>
      <c r="Q315" s="3">
        <v>7</v>
      </c>
      <c r="R315" s="3">
        <v>100.12</v>
      </c>
      <c r="S315" s="3">
        <v>0.03</v>
      </c>
    </row>
    <row r="316" spans="8:19">
      <c r="H316" s="3" t="s">
        <v>965</v>
      </c>
      <c r="I316" s="25">
        <v>45884</v>
      </c>
      <c r="J316" s="3" t="s">
        <v>13</v>
      </c>
      <c r="K316" s="3" t="s">
        <v>14</v>
      </c>
      <c r="L316" s="3" t="s">
        <v>15</v>
      </c>
      <c r="M316" s="3" t="s">
        <v>966</v>
      </c>
      <c r="N316" s="3" t="s">
        <v>967</v>
      </c>
      <c r="O316" s="3" t="s">
        <v>18</v>
      </c>
      <c r="P316" s="3">
        <v>678.44</v>
      </c>
      <c r="Q316" s="3">
        <v>2</v>
      </c>
      <c r="R316" s="3">
        <v>245.36</v>
      </c>
      <c r="S316" s="3">
        <v>0.18</v>
      </c>
    </row>
    <row r="317" spans="8:19">
      <c r="H317" s="3" t="s">
        <v>968</v>
      </c>
      <c r="I317" s="25">
        <v>45714</v>
      </c>
      <c r="J317" s="3" t="s">
        <v>41</v>
      </c>
      <c r="K317" s="3" t="s">
        <v>14</v>
      </c>
      <c r="L317" s="3" t="s">
        <v>15</v>
      </c>
      <c r="M317" s="3" t="s">
        <v>969</v>
      </c>
      <c r="N317" s="3" t="s">
        <v>970</v>
      </c>
      <c r="O317" s="3" t="s">
        <v>39</v>
      </c>
      <c r="P317" s="3">
        <v>804.87</v>
      </c>
      <c r="Q317" s="3">
        <v>2</v>
      </c>
      <c r="R317" s="3">
        <v>47.97</v>
      </c>
      <c r="S317" s="3">
        <v>0.1</v>
      </c>
    </row>
    <row r="318" spans="8:19">
      <c r="H318" s="3" t="s">
        <v>971</v>
      </c>
      <c r="I318" s="25">
        <v>45765</v>
      </c>
      <c r="J318" s="3" t="s">
        <v>20</v>
      </c>
      <c r="K318" s="3" t="s">
        <v>14</v>
      </c>
      <c r="L318" s="3" t="s">
        <v>15</v>
      </c>
      <c r="M318" s="3" t="s">
        <v>972</v>
      </c>
      <c r="N318" s="3" t="s">
        <v>973</v>
      </c>
      <c r="O318" s="3" t="s">
        <v>35</v>
      </c>
      <c r="P318" s="3">
        <v>1018.77</v>
      </c>
      <c r="Q318" s="3">
        <v>4</v>
      </c>
      <c r="R318" s="3">
        <v>184.56</v>
      </c>
      <c r="S318" s="3">
        <v>7.0000000000000007E-2</v>
      </c>
    </row>
    <row r="319" spans="8:19">
      <c r="H319" s="3" t="s">
        <v>974</v>
      </c>
      <c r="I319" s="25">
        <v>45718</v>
      </c>
      <c r="J319" s="3" t="s">
        <v>20</v>
      </c>
      <c r="K319" s="3" t="s">
        <v>21</v>
      </c>
      <c r="L319" s="3" t="s">
        <v>15</v>
      </c>
      <c r="M319" s="3" t="s">
        <v>975</v>
      </c>
      <c r="N319" s="3" t="s">
        <v>976</v>
      </c>
      <c r="O319" s="3" t="s">
        <v>39</v>
      </c>
      <c r="P319" s="3">
        <v>1472.56</v>
      </c>
      <c r="Q319" s="3">
        <v>7</v>
      </c>
      <c r="R319" s="3">
        <v>504.11</v>
      </c>
      <c r="S319" s="3">
        <v>0.06</v>
      </c>
    </row>
    <row r="320" spans="8:19">
      <c r="H320" s="3" t="s">
        <v>977</v>
      </c>
      <c r="I320" s="25">
        <v>45999</v>
      </c>
      <c r="J320" s="3" t="s">
        <v>20</v>
      </c>
      <c r="K320" s="3" t="s">
        <v>14</v>
      </c>
      <c r="L320" s="3" t="s">
        <v>15</v>
      </c>
      <c r="M320" s="3" t="s">
        <v>978</v>
      </c>
      <c r="N320" s="3" t="s">
        <v>979</v>
      </c>
      <c r="O320" s="3" t="s">
        <v>35</v>
      </c>
      <c r="P320" s="3">
        <v>1007.05</v>
      </c>
      <c r="Q320" s="3">
        <v>6</v>
      </c>
      <c r="R320" s="3">
        <v>313.42</v>
      </c>
      <c r="S320" s="3">
        <v>0.28999999999999998</v>
      </c>
    </row>
    <row r="321" spans="8:19">
      <c r="H321" s="3" t="s">
        <v>980</v>
      </c>
      <c r="I321" s="25">
        <v>45928</v>
      </c>
      <c r="J321" s="3" t="s">
        <v>20</v>
      </c>
      <c r="K321" s="3" t="s">
        <v>21</v>
      </c>
      <c r="L321" s="3" t="s">
        <v>15</v>
      </c>
      <c r="M321" s="3" t="s">
        <v>981</v>
      </c>
      <c r="N321" s="3" t="s">
        <v>982</v>
      </c>
      <c r="O321" s="3" t="s">
        <v>35</v>
      </c>
      <c r="P321" s="3">
        <v>730.07</v>
      </c>
      <c r="Q321" s="3">
        <v>5</v>
      </c>
      <c r="R321" s="3">
        <v>240.01</v>
      </c>
      <c r="S321" s="3">
        <v>0.1</v>
      </c>
    </row>
    <row r="322" spans="8:19">
      <c r="H322" s="3" t="s">
        <v>983</v>
      </c>
      <c r="I322" s="25">
        <v>45897</v>
      </c>
      <c r="J322" s="3" t="s">
        <v>20</v>
      </c>
      <c r="K322" s="3" t="s">
        <v>21</v>
      </c>
      <c r="L322" s="3" t="s">
        <v>15</v>
      </c>
      <c r="M322" s="3" t="s">
        <v>984</v>
      </c>
      <c r="N322" s="3" t="s">
        <v>985</v>
      </c>
      <c r="O322" s="3" t="s">
        <v>35</v>
      </c>
      <c r="P322" s="3">
        <v>1617.36</v>
      </c>
      <c r="Q322" s="3">
        <v>9</v>
      </c>
      <c r="R322" s="3">
        <v>366.31</v>
      </c>
      <c r="S322" s="3">
        <v>0.25</v>
      </c>
    </row>
    <row r="323" spans="8:19">
      <c r="H323" s="3" t="s">
        <v>986</v>
      </c>
      <c r="I323" s="25">
        <v>45952</v>
      </c>
      <c r="J323" s="3" t="s">
        <v>20</v>
      </c>
      <c r="K323" s="3" t="s">
        <v>14</v>
      </c>
      <c r="L323" s="3" t="s">
        <v>15</v>
      </c>
      <c r="M323" s="3" t="s">
        <v>987</v>
      </c>
      <c r="N323" s="3" t="s">
        <v>988</v>
      </c>
      <c r="O323" s="3" t="s">
        <v>18</v>
      </c>
      <c r="P323" s="3">
        <v>1315.08</v>
      </c>
      <c r="Q323" s="3">
        <v>6</v>
      </c>
      <c r="R323" s="3">
        <v>312.60000000000002</v>
      </c>
      <c r="S323" s="3">
        <v>0.03</v>
      </c>
    </row>
    <row r="324" spans="8:19">
      <c r="H324" s="3" t="s">
        <v>989</v>
      </c>
      <c r="I324" s="25">
        <v>45994</v>
      </c>
      <c r="J324" s="3" t="s">
        <v>28</v>
      </c>
      <c r="K324" s="3" t="s">
        <v>21</v>
      </c>
      <c r="L324" s="3" t="s">
        <v>15</v>
      </c>
      <c r="M324" s="3" t="s">
        <v>990</v>
      </c>
      <c r="N324" s="3" t="s">
        <v>991</v>
      </c>
      <c r="O324" s="3" t="s">
        <v>18</v>
      </c>
      <c r="P324" s="3">
        <v>811.73</v>
      </c>
      <c r="Q324" s="3">
        <v>8</v>
      </c>
      <c r="R324" s="3">
        <v>49.91</v>
      </c>
      <c r="S324" s="3">
        <v>0</v>
      </c>
    </row>
    <row r="325" spans="8:19">
      <c r="H325" s="3" t="s">
        <v>992</v>
      </c>
      <c r="I325" s="25">
        <v>45968</v>
      </c>
      <c r="J325" s="3" t="s">
        <v>28</v>
      </c>
      <c r="K325" s="3" t="s">
        <v>14</v>
      </c>
      <c r="L325" s="3" t="s">
        <v>15</v>
      </c>
      <c r="M325" s="3" t="s">
        <v>993</v>
      </c>
      <c r="N325" s="3" t="s">
        <v>994</v>
      </c>
      <c r="O325" s="3" t="s">
        <v>18</v>
      </c>
      <c r="P325" s="3">
        <v>412.57</v>
      </c>
      <c r="Q325" s="3">
        <v>2</v>
      </c>
      <c r="R325" s="3">
        <v>64.92</v>
      </c>
      <c r="S325" s="3">
        <v>0.13</v>
      </c>
    </row>
    <row r="326" spans="8:19">
      <c r="H326" s="3" t="s">
        <v>995</v>
      </c>
      <c r="I326" s="25">
        <v>45796</v>
      </c>
      <c r="J326" s="3" t="s">
        <v>20</v>
      </c>
      <c r="K326" s="3" t="s">
        <v>32</v>
      </c>
      <c r="L326" s="3" t="s">
        <v>15</v>
      </c>
      <c r="M326" s="3" t="s">
        <v>996</v>
      </c>
      <c r="N326" s="3" t="s">
        <v>997</v>
      </c>
      <c r="O326" s="3" t="s">
        <v>18</v>
      </c>
      <c r="P326" s="3">
        <v>850.03</v>
      </c>
      <c r="Q326" s="3">
        <v>3</v>
      </c>
      <c r="R326" s="3">
        <v>94.69</v>
      </c>
      <c r="S326" s="3">
        <v>0.06</v>
      </c>
    </row>
    <row r="327" spans="8:19">
      <c r="H327" s="3" t="s">
        <v>998</v>
      </c>
      <c r="I327" s="25">
        <v>45729</v>
      </c>
      <c r="J327" s="3" t="s">
        <v>13</v>
      </c>
      <c r="K327" s="3" t="s">
        <v>21</v>
      </c>
      <c r="L327" s="3" t="s">
        <v>15</v>
      </c>
      <c r="M327" s="3" t="s">
        <v>999</v>
      </c>
      <c r="N327" s="3" t="s">
        <v>1000</v>
      </c>
      <c r="O327" s="3" t="s">
        <v>39</v>
      </c>
      <c r="P327" s="3">
        <v>1926.43</v>
      </c>
      <c r="Q327" s="3">
        <v>10</v>
      </c>
      <c r="R327" s="3">
        <v>582.45000000000005</v>
      </c>
      <c r="S327" s="3">
        <v>0.18</v>
      </c>
    </row>
    <row r="328" spans="8:19">
      <c r="H328" s="3" t="s">
        <v>1001</v>
      </c>
      <c r="I328" s="25">
        <v>45690</v>
      </c>
      <c r="J328" s="3" t="s">
        <v>13</v>
      </c>
      <c r="K328" s="3" t="s">
        <v>21</v>
      </c>
      <c r="L328" s="3" t="s">
        <v>15</v>
      </c>
      <c r="M328" s="3" t="s">
        <v>1002</v>
      </c>
      <c r="N328" s="3" t="s">
        <v>1003</v>
      </c>
      <c r="O328" s="3" t="s">
        <v>18</v>
      </c>
      <c r="P328" s="3">
        <v>1324.12</v>
      </c>
      <c r="Q328" s="3">
        <v>5</v>
      </c>
      <c r="R328" s="3">
        <v>74.8</v>
      </c>
      <c r="S328" s="3">
        <v>0.28000000000000003</v>
      </c>
    </row>
    <row r="329" spans="8:19">
      <c r="H329" s="3" t="s">
        <v>1004</v>
      </c>
      <c r="I329" s="25">
        <v>45681</v>
      </c>
      <c r="J329" s="3" t="s">
        <v>28</v>
      </c>
      <c r="K329" s="3" t="s">
        <v>14</v>
      </c>
      <c r="L329" s="3" t="s">
        <v>15</v>
      </c>
      <c r="M329" s="3" t="s">
        <v>1005</v>
      </c>
      <c r="N329" s="3" t="s">
        <v>1006</v>
      </c>
      <c r="O329" s="3" t="s">
        <v>35</v>
      </c>
      <c r="P329" s="3">
        <v>1474.1</v>
      </c>
      <c r="Q329" s="3">
        <v>9</v>
      </c>
      <c r="R329" s="3">
        <v>150.21</v>
      </c>
      <c r="S329" s="3">
        <v>0</v>
      </c>
    </row>
    <row r="330" spans="8:19">
      <c r="H330" s="3" t="s">
        <v>1007</v>
      </c>
      <c r="I330" s="25">
        <v>45682</v>
      </c>
      <c r="J330" s="3" t="s">
        <v>28</v>
      </c>
      <c r="K330" s="3" t="s">
        <v>32</v>
      </c>
      <c r="L330" s="3" t="s">
        <v>15</v>
      </c>
      <c r="M330" s="3" t="s">
        <v>1008</v>
      </c>
      <c r="N330" s="3" t="s">
        <v>1009</v>
      </c>
      <c r="O330" s="3" t="s">
        <v>35</v>
      </c>
      <c r="P330" s="3">
        <v>1588.7</v>
      </c>
      <c r="Q330" s="3">
        <v>5</v>
      </c>
      <c r="R330" s="3">
        <v>231.36</v>
      </c>
      <c r="S330" s="3">
        <v>0.22</v>
      </c>
    </row>
    <row r="331" spans="8:19">
      <c r="H331" s="3" t="s">
        <v>1010</v>
      </c>
      <c r="I331" s="25">
        <v>45693</v>
      </c>
      <c r="J331" s="3" t="s">
        <v>41</v>
      </c>
      <c r="K331" s="3" t="s">
        <v>21</v>
      </c>
      <c r="L331" s="3" t="s">
        <v>15</v>
      </c>
      <c r="M331" s="3" t="s">
        <v>1011</v>
      </c>
      <c r="N331" s="3" t="s">
        <v>1012</v>
      </c>
      <c r="O331" s="3" t="s">
        <v>35</v>
      </c>
      <c r="P331" s="3">
        <v>1509.6</v>
      </c>
      <c r="Q331" s="3">
        <v>7</v>
      </c>
      <c r="R331" s="3">
        <v>281.69</v>
      </c>
      <c r="S331" s="3">
        <v>0.21</v>
      </c>
    </row>
    <row r="332" spans="8:19">
      <c r="H332" s="3" t="s">
        <v>1013</v>
      </c>
      <c r="I332" s="25">
        <v>45912</v>
      </c>
      <c r="J332" s="3" t="s">
        <v>41</v>
      </c>
      <c r="K332" s="3" t="s">
        <v>21</v>
      </c>
      <c r="L332" s="3" t="s">
        <v>15</v>
      </c>
      <c r="M332" s="3" t="s">
        <v>1014</v>
      </c>
      <c r="N332" s="3" t="s">
        <v>1015</v>
      </c>
      <c r="O332" s="3" t="s">
        <v>39</v>
      </c>
      <c r="P332" s="3">
        <v>827.64</v>
      </c>
      <c r="Q332" s="3">
        <v>1</v>
      </c>
      <c r="R332" s="3">
        <v>265.58</v>
      </c>
      <c r="S332" s="3">
        <v>0.25</v>
      </c>
    </row>
    <row r="333" spans="8:19">
      <c r="H333" s="3" t="s">
        <v>1016</v>
      </c>
      <c r="I333" s="25">
        <v>45789</v>
      </c>
      <c r="J333" s="3" t="s">
        <v>13</v>
      </c>
      <c r="K333" s="3" t="s">
        <v>14</v>
      </c>
      <c r="L333" s="3" t="s">
        <v>15</v>
      </c>
      <c r="M333" s="3" t="s">
        <v>1017</v>
      </c>
      <c r="N333" s="3" t="s">
        <v>1018</v>
      </c>
      <c r="O333" s="3" t="s">
        <v>39</v>
      </c>
      <c r="P333" s="3">
        <v>1324.96</v>
      </c>
      <c r="Q333" s="3">
        <v>6</v>
      </c>
      <c r="R333" s="3">
        <v>381.77</v>
      </c>
      <c r="S333" s="3">
        <v>0.11</v>
      </c>
    </row>
    <row r="334" spans="8:19">
      <c r="H334" s="3" t="s">
        <v>1019</v>
      </c>
      <c r="I334" s="25">
        <v>45986</v>
      </c>
      <c r="J334" s="3" t="s">
        <v>20</v>
      </c>
      <c r="K334" s="3" t="s">
        <v>32</v>
      </c>
      <c r="L334" s="3" t="s">
        <v>15</v>
      </c>
      <c r="M334" s="3" t="s">
        <v>1020</v>
      </c>
      <c r="N334" s="3" t="s">
        <v>1021</v>
      </c>
      <c r="O334" s="3" t="s">
        <v>35</v>
      </c>
      <c r="P334" s="3">
        <v>1830.95</v>
      </c>
      <c r="Q334" s="3">
        <v>4</v>
      </c>
      <c r="R334" s="3">
        <v>536.85</v>
      </c>
      <c r="S334" s="3">
        <v>0.24</v>
      </c>
    </row>
    <row r="335" spans="8:19">
      <c r="H335" s="3" t="s">
        <v>1022</v>
      </c>
      <c r="I335" s="25">
        <v>46017</v>
      </c>
      <c r="J335" s="3" t="s">
        <v>13</v>
      </c>
      <c r="K335" s="3" t="s">
        <v>32</v>
      </c>
      <c r="L335" s="3" t="s">
        <v>15</v>
      </c>
      <c r="M335" s="3" t="s">
        <v>1023</v>
      </c>
      <c r="N335" s="3" t="s">
        <v>1024</v>
      </c>
      <c r="O335" s="3" t="s">
        <v>39</v>
      </c>
      <c r="P335" s="3">
        <v>871.91</v>
      </c>
      <c r="Q335" s="3">
        <v>5</v>
      </c>
      <c r="R335" s="3">
        <v>315.79000000000002</v>
      </c>
      <c r="S335" s="3">
        <v>0.28999999999999998</v>
      </c>
    </row>
    <row r="336" spans="8:19">
      <c r="H336" s="3" t="s">
        <v>1025</v>
      </c>
      <c r="I336" s="25">
        <v>45715</v>
      </c>
      <c r="J336" s="3" t="s">
        <v>41</v>
      </c>
      <c r="K336" s="3" t="s">
        <v>21</v>
      </c>
      <c r="L336" s="3" t="s">
        <v>15</v>
      </c>
      <c r="M336" s="3" t="s">
        <v>1026</v>
      </c>
      <c r="N336" s="3" t="s">
        <v>1027</v>
      </c>
      <c r="O336" s="3" t="s">
        <v>39</v>
      </c>
      <c r="P336" s="3">
        <v>1101.6400000000001</v>
      </c>
      <c r="Q336" s="3">
        <v>7</v>
      </c>
      <c r="R336" s="3">
        <v>269.13</v>
      </c>
      <c r="S336" s="3">
        <v>0.17</v>
      </c>
    </row>
    <row r="337" spans="8:19">
      <c r="H337" s="3" t="s">
        <v>1028</v>
      </c>
      <c r="I337" s="25">
        <v>45680</v>
      </c>
      <c r="J337" s="3" t="s">
        <v>41</v>
      </c>
      <c r="K337" s="3" t="s">
        <v>21</v>
      </c>
      <c r="L337" s="3" t="s">
        <v>15</v>
      </c>
      <c r="M337" s="3" t="s">
        <v>1029</v>
      </c>
      <c r="N337" s="3" t="s">
        <v>1030</v>
      </c>
      <c r="O337" s="3" t="s">
        <v>39</v>
      </c>
      <c r="P337" s="3">
        <v>602.12</v>
      </c>
      <c r="Q337" s="3">
        <v>5</v>
      </c>
      <c r="R337" s="3">
        <v>34.340000000000003</v>
      </c>
      <c r="S337" s="3">
        <v>0.13</v>
      </c>
    </row>
    <row r="338" spans="8:19">
      <c r="H338" s="3" t="s">
        <v>1031</v>
      </c>
      <c r="I338" s="25">
        <v>45880</v>
      </c>
      <c r="J338" s="3" t="s">
        <v>28</v>
      </c>
      <c r="K338" s="3" t="s">
        <v>14</v>
      </c>
      <c r="L338" s="3" t="s">
        <v>15</v>
      </c>
      <c r="M338" s="3" t="s">
        <v>1032</v>
      </c>
      <c r="N338" s="3" t="s">
        <v>1033</v>
      </c>
      <c r="O338" s="3" t="s">
        <v>39</v>
      </c>
      <c r="P338" s="3">
        <v>1278.69</v>
      </c>
      <c r="Q338" s="3">
        <v>1</v>
      </c>
      <c r="R338" s="3">
        <v>267.95999999999998</v>
      </c>
      <c r="S338" s="3">
        <v>0.09</v>
      </c>
    </row>
    <row r="339" spans="8:19">
      <c r="H339" s="3" t="s">
        <v>1034</v>
      </c>
      <c r="I339" s="25">
        <v>45921</v>
      </c>
      <c r="J339" s="3" t="s">
        <v>41</v>
      </c>
      <c r="K339" s="3" t="s">
        <v>14</v>
      </c>
      <c r="L339" s="3" t="s">
        <v>15</v>
      </c>
      <c r="M339" s="3" t="s">
        <v>1035</v>
      </c>
      <c r="N339" s="3" t="s">
        <v>1036</v>
      </c>
      <c r="O339" s="3" t="s">
        <v>18</v>
      </c>
      <c r="P339" s="3">
        <v>750.37</v>
      </c>
      <c r="Q339" s="3">
        <v>8</v>
      </c>
      <c r="R339" s="3">
        <v>120.88</v>
      </c>
      <c r="S339" s="3">
        <v>0.13</v>
      </c>
    </row>
    <row r="340" spans="8:19">
      <c r="H340" s="3" t="s">
        <v>1037</v>
      </c>
      <c r="I340" s="25">
        <v>45986</v>
      </c>
      <c r="J340" s="3" t="s">
        <v>41</v>
      </c>
      <c r="K340" s="3" t="s">
        <v>14</v>
      </c>
      <c r="L340" s="3" t="s">
        <v>15</v>
      </c>
      <c r="M340" s="3" t="s">
        <v>1038</v>
      </c>
      <c r="N340" s="3" t="s">
        <v>1039</v>
      </c>
      <c r="O340" s="3" t="s">
        <v>35</v>
      </c>
      <c r="P340" s="3">
        <v>242.73</v>
      </c>
      <c r="Q340" s="3">
        <v>8</v>
      </c>
      <c r="R340" s="3">
        <v>92.69</v>
      </c>
      <c r="S340" s="3">
        <v>0.16</v>
      </c>
    </row>
    <row r="341" spans="8:19">
      <c r="H341" s="3" t="s">
        <v>1040</v>
      </c>
      <c r="I341" s="25">
        <v>45803</v>
      </c>
      <c r="J341" s="3" t="s">
        <v>28</v>
      </c>
      <c r="K341" s="3" t="s">
        <v>21</v>
      </c>
      <c r="L341" s="3" t="s">
        <v>15</v>
      </c>
      <c r="M341" s="3" t="s">
        <v>1041</v>
      </c>
      <c r="N341" s="3" t="s">
        <v>1042</v>
      </c>
      <c r="O341" s="3" t="s">
        <v>39</v>
      </c>
      <c r="P341" s="3">
        <v>1081.57</v>
      </c>
      <c r="Q341" s="3">
        <v>6</v>
      </c>
      <c r="R341" s="3">
        <v>224.95</v>
      </c>
      <c r="S341" s="3">
        <v>0.01</v>
      </c>
    </row>
    <row r="342" spans="8:19">
      <c r="H342" s="3" t="s">
        <v>1043</v>
      </c>
      <c r="I342" s="25">
        <v>45812</v>
      </c>
      <c r="J342" s="3" t="s">
        <v>28</v>
      </c>
      <c r="K342" s="3" t="s">
        <v>21</v>
      </c>
      <c r="L342" s="3" t="s">
        <v>15</v>
      </c>
      <c r="M342" s="3" t="s">
        <v>1044</v>
      </c>
      <c r="N342" s="3" t="s">
        <v>1045</v>
      </c>
      <c r="O342" s="3" t="s">
        <v>39</v>
      </c>
      <c r="P342" s="3">
        <v>349.34</v>
      </c>
      <c r="Q342" s="3">
        <v>7</v>
      </c>
      <c r="R342" s="3">
        <v>19.11</v>
      </c>
      <c r="S342" s="3">
        <v>0.12</v>
      </c>
    </row>
    <row r="343" spans="8:19">
      <c r="H343" s="3" t="s">
        <v>1046</v>
      </c>
      <c r="I343" s="25">
        <v>45711</v>
      </c>
      <c r="J343" s="3" t="s">
        <v>20</v>
      </c>
      <c r="K343" s="3" t="s">
        <v>32</v>
      </c>
      <c r="L343" s="3" t="s">
        <v>15</v>
      </c>
      <c r="M343" s="3" t="s">
        <v>1047</v>
      </c>
      <c r="N343" s="3" t="s">
        <v>1048</v>
      </c>
      <c r="O343" s="3" t="s">
        <v>35</v>
      </c>
      <c r="P343" s="3">
        <v>629.49</v>
      </c>
      <c r="Q343" s="3">
        <v>4</v>
      </c>
      <c r="R343" s="3">
        <v>243.63</v>
      </c>
      <c r="S343" s="3">
        <v>0.12</v>
      </c>
    </row>
    <row r="344" spans="8:19">
      <c r="H344" s="3" t="s">
        <v>1049</v>
      </c>
      <c r="I344" s="25">
        <v>45883</v>
      </c>
      <c r="J344" s="3" t="s">
        <v>28</v>
      </c>
      <c r="K344" s="3" t="s">
        <v>32</v>
      </c>
      <c r="L344" s="3" t="s">
        <v>15</v>
      </c>
      <c r="M344" s="3" t="s">
        <v>1050</v>
      </c>
      <c r="N344" s="3" t="s">
        <v>1051</v>
      </c>
      <c r="O344" s="3" t="s">
        <v>35</v>
      </c>
      <c r="P344" s="3">
        <v>107.22</v>
      </c>
      <c r="Q344" s="3">
        <v>5</v>
      </c>
      <c r="R344" s="3">
        <v>26.18</v>
      </c>
      <c r="S344" s="3">
        <v>0.24</v>
      </c>
    </row>
    <row r="345" spans="8:19">
      <c r="H345" s="3" t="s">
        <v>1052</v>
      </c>
      <c r="I345" s="25">
        <v>45966</v>
      </c>
      <c r="J345" s="3" t="s">
        <v>20</v>
      </c>
      <c r="K345" s="3" t="s">
        <v>21</v>
      </c>
      <c r="L345" s="3" t="s">
        <v>15</v>
      </c>
      <c r="M345" s="3" t="s">
        <v>1053</v>
      </c>
      <c r="N345" s="3" t="s">
        <v>1054</v>
      </c>
      <c r="O345" s="3" t="s">
        <v>35</v>
      </c>
      <c r="P345" s="3">
        <v>1025.18</v>
      </c>
      <c r="Q345" s="3">
        <v>3</v>
      </c>
      <c r="R345" s="3">
        <v>366.12</v>
      </c>
      <c r="S345" s="3">
        <v>0.02</v>
      </c>
    </row>
    <row r="346" spans="8:19">
      <c r="H346" s="3" t="s">
        <v>1055</v>
      </c>
      <c r="I346" s="25">
        <v>45674</v>
      </c>
      <c r="J346" s="3" t="s">
        <v>41</v>
      </c>
      <c r="K346" s="3" t="s">
        <v>21</v>
      </c>
      <c r="L346" s="3" t="s">
        <v>15</v>
      </c>
      <c r="M346" s="3" t="s">
        <v>1056</v>
      </c>
      <c r="N346" s="3" t="s">
        <v>1057</v>
      </c>
      <c r="O346" s="3" t="s">
        <v>18</v>
      </c>
      <c r="P346" s="3">
        <v>188.36</v>
      </c>
      <c r="Q346" s="3">
        <v>4</v>
      </c>
      <c r="R346" s="3">
        <v>65.81</v>
      </c>
      <c r="S346" s="3">
        <v>0.28000000000000003</v>
      </c>
    </row>
    <row r="347" spans="8:19">
      <c r="H347" s="3" t="s">
        <v>1058</v>
      </c>
      <c r="I347" s="25">
        <v>45981</v>
      </c>
      <c r="J347" s="3" t="s">
        <v>28</v>
      </c>
      <c r="K347" s="3" t="s">
        <v>32</v>
      </c>
      <c r="L347" s="3" t="s">
        <v>15</v>
      </c>
      <c r="M347" s="3" t="s">
        <v>1059</v>
      </c>
      <c r="N347" s="3" t="s">
        <v>1060</v>
      </c>
      <c r="O347" s="3" t="s">
        <v>35</v>
      </c>
      <c r="P347" s="3">
        <v>1894.17</v>
      </c>
      <c r="Q347" s="3">
        <v>5</v>
      </c>
      <c r="R347" s="3">
        <v>734.53</v>
      </c>
      <c r="S347" s="3">
        <v>0.17</v>
      </c>
    </row>
    <row r="348" spans="8:19">
      <c r="H348" s="3" t="s">
        <v>1061</v>
      </c>
      <c r="I348" s="25">
        <v>46006</v>
      </c>
      <c r="J348" s="3" t="s">
        <v>41</v>
      </c>
      <c r="K348" s="3" t="s">
        <v>32</v>
      </c>
      <c r="L348" s="3" t="s">
        <v>15</v>
      </c>
      <c r="M348" s="3" t="s">
        <v>1062</v>
      </c>
      <c r="N348" s="3" t="s">
        <v>1063</v>
      </c>
      <c r="O348" s="3" t="s">
        <v>39</v>
      </c>
      <c r="P348" s="3">
        <v>1390.04</v>
      </c>
      <c r="Q348" s="3">
        <v>7</v>
      </c>
      <c r="R348" s="3">
        <v>358.54</v>
      </c>
      <c r="S348" s="3">
        <v>0.12</v>
      </c>
    </row>
    <row r="349" spans="8:19">
      <c r="H349" s="3" t="s">
        <v>1064</v>
      </c>
      <c r="I349" s="25">
        <v>45989</v>
      </c>
      <c r="J349" s="3" t="s">
        <v>13</v>
      </c>
      <c r="K349" s="3" t="s">
        <v>14</v>
      </c>
      <c r="L349" s="3" t="s">
        <v>15</v>
      </c>
      <c r="M349" s="3" t="s">
        <v>1065</v>
      </c>
      <c r="N349" s="3" t="s">
        <v>1066</v>
      </c>
      <c r="O349" s="3" t="s">
        <v>39</v>
      </c>
      <c r="P349" s="3">
        <v>570.75</v>
      </c>
      <c r="Q349" s="3">
        <v>9</v>
      </c>
      <c r="R349" s="3">
        <v>97.68</v>
      </c>
      <c r="S349" s="3">
        <v>0.21</v>
      </c>
    </row>
    <row r="350" spans="8:19">
      <c r="H350" s="3" t="s">
        <v>1067</v>
      </c>
      <c r="I350" s="25">
        <v>45826</v>
      </c>
      <c r="J350" s="3" t="s">
        <v>41</v>
      </c>
      <c r="K350" s="3" t="s">
        <v>14</v>
      </c>
      <c r="L350" s="3" t="s">
        <v>15</v>
      </c>
      <c r="M350" s="3" t="s">
        <v>1068</v>
      </c>
      <c r="N350" s="3" t="s">
        <v>1069</v>
      </c>
      <c r="O350" s="3" t="s">
        <v>35</v>
      </c>
      <c r="P350" s="3">
        <v>1027.96</v>
      </c>
      <c r="Q350" s="3">
        <v>2</v>
      </c>
      <c r="R350" s="3">
        <v>159.22999999999999</v>
      </c>
      <c r="S350" s="3">
        <v>0.26</v>
      </c>
    </row>
    <row r="351" spans="8:19">
      <c r="H351" s="3" t="s">
        <v>1070</v>
      </c>
      <c r="I351" s="25">
        <v>45822</v>
      </c>
      <c r="J351" s="3" t="s">
        <v>20</v>
      </c>
      <c r="K351" s="3" t="s">
        <v>14</v>
      </c>
      <c r="L351" s="3" t="s">
        <v>15</v>
      </c>
      <c r="M351" s="3" t="s">
        <v>1071</v>
      </c>
      <c r="N351" s="3" t="s">
        <v>1072</v>
      </c>
      <c r="O351" s="3" t="s">
        <v>18</v>
      </c>
      <c r="P351" s="3">
        <v>1167.3599999999999</v>
      </c>
      <c r="Q351" s="3">
        <v>4</v>
      </c>
      <c r="R351" s="3">
        <v>175.96</v>
      </c>
      <c r="S351" s="3">
        <v>0.28000000000000003</v>
      </c>
    </row>
    <row r="352" spans="8:19">
      <c r="H352" s="3" t="s">
        <v>1073</v>
      </c>
      <c r="I352" s="25">
        <v>45999</v>
      </c>
      <c r="J352" s="3" t="s">
        <v>41</v>
      </c>
      <c r="K352" s="3" t="s">
        <v>32</v>
      </c>
      <c r="L352" s="3" t="s">
        <v>15</v>
      </c>
      <c r="M352" s="3" t="s">
        <v>1074</v>
      </c>
      <c r="N352" s="3" t="s">
        <v>1075</v>
      </c>
      <c r="O352" s="3" t="s">
        <v>39</v>
      </c>
      <c r="P352" s="3">
        <v>1639.23</v>
      </c>
      <c r="Q352" s="3">
        <v>1</v>
      </c>
      <c r="R352" s="3">
        <v>229.31</v>
      </c>
      <c r="S352" s="3">
        <v>0.28000000000000003</v>
      </c>
    </row>
    <row r="353" spans="8:19">
      <c r="H353" s="3" t="s">
        <v>1076</v>
      </c>
      <c r="I353" s="25">
        <v>45980</v>
      </c>
      <c r="J353" s="3" t="s">
        <v>13</v>
      </c>
      <c r="K353" s="3" t="s">
        <v>32</v>
      </c>
      <c r="L353" s="3" t="s">
        <v>15</v>
      </c>
      <c r="M353" s="3" t="s">
        <v>1077</v>
      </c>
      <c r="N353" s="3" t="s">
        <v>1078</v>
      </c>
      <c r="O353" s="3" t="s">
        <v>39</v>
      </c>
      <c r="P353" s="3">
        <v>144.57</v>
      </c>
      <c r="Q353" s="3">
        <v>1</v>
      </c>
      <c r="R353" s="3">
        <v>24.97</v>
      </c>
      <c r="S353" s="3">
        <v>0.23</v>
      </c>
    </row>
    <row r="354" spans="8:19">
      <c r="H354" s="3" t="s">
        <v>1079</v>
      </c>
      <c r="I354" s="25">
        <v>45814</v>
      </c>
      <c r="J354" s="3" t="s">
        <v>13</v>
      </c>
      <c r="K354" s="3" t="s">
        <v>21</v>
      </c>
      <c r="L354" s="3" t="s">
        <v>15</v>
      </c>
      <c r="M354" s="3" t="s">
        <v>1080</v>
      </c>
      <c r="N354" s="3" t="s">
        <v>1081</v>
      </c>
      <c r="O354" s="3" t="s">
        <v>35</v>
      </c>
      <c r="P354" s="3">
        <v>1397.17</v>
      </c>
      <c r="Q354" s="3">
        <v>7</v>
      </c>
      <c r="R354" s="3">
        <v>548.08000000000004</v>
      </c>
      <c r="S354" s="3">
        <v>0</v>
      </c>
    </row>
    <row r="355" spans="8:19">
      <c r="H355" s="3" t="s">
        <v>1082</v>
      </c>
      <c r="I355" s="25">
        <v>46002</v>
      </c>
      <c r="J355" s="3" t="s">
        <v>41</v>
      </c>
      <c r="K355" s="3" t="s">
        <v>21</v>
      </c>
      <c r="L355" s="3" t="s">
        <v>15</v>
      </c>
      <c r="M355" s="3" t="s">
        <v>1083</v>
      </c>
      <c r="N355" s="3" t="s">
        <v>1084</v>
      </c>
      <c r="O355" s="3" t="s">
        <v>39</v>
      </c>
      <c r="P355" s="3">
        <v>307.08999999999997</v>
      </c>
      <c r="Q355" s="3">
        <v>10</v>
      </c>
      <c r="R355" s="3">
        <v>15.99</v>
      </c>
      <c r="S355" s="3">
        <v>0.27</v>
      </c>
    </row>
    <row r="356" spans="8:19">
      <c r="H356" s="3" t="s">
        <v>1085</v>
      </c>
      <c r="I356" s="25">
        <v>45684</v>
      </c>
      <c r="J356" s="3" t="s">
        <v>20</v>
      </c>
      <c r="K356" s="3" t="s">
        <v>14</v>
      </c>
      <c r="L356" s="3" t="s">
        <v>15</v>
      </c>
      <c r="M356" s="3" t="s">
        <v>1086</v>
      </c>
      <c r="N356" s="3" t="s">
        <v>1087</v>
      </c>
      <c r="O356" s="3" t="s">
        <v>18</v>
      </c>
      <c r="P356" s="3">
        <v>1622.48</v>
      </c>
      <c r="Q356" s="3">
        <v>8</v>
      </c>
      <c r="R356" s="3">
        <v>99.38</v>
      </c>
      <c r="S356" s="3">
        <v>7.0000000000000007E-2</v>
      </c>
    </row>
    <row r="357" spans="8:19">
      <c r="H357" s="3" t="s">
        <v>1088</v>
      </c>
      <c r="I357" s="25">
        <v>45911</v>
      </c>
      <c r="J357" s="3" t="s">
        <v>13</v>
      </c>
      <c r="K357" s="3" t="s">
        <v>14</v>
      </c>
      <c r="L357" s="3" t="s">
        <v>15</v>
      </c>
      <c r="M357" s="3" t="s">
        <v>1089</v>
      </c>
      <c r="N357" s="3" t="s">
        <v>1090</v>
      </c>
      <c r="O357" s="3" t="s">
        <v>39</v>
      </c>
      <c r="P357" s="3">
        <v>181.22</v>
      </c>
      <c r="Q357" s="3">
        <v>1</v>
      </c>
      <c r="R357" s="3">
        <v>30.59</v>
      </c>
      <c r="S357" s="3">
        <v>0.12</v>
      </c>
    </row>
    <row r="358" spans="8:19">
      <c r="H358" s="3" t="s">
        <v>1091</v>
      </c>
      <c r="I358" s="25">
        <v>45758</v>
      </c>
      <c r="J358" s="3" t="s">
        <v>13</v>
      </c>
      <c r="K358" s="3" t="s">
        <v>32</v>
      </c>
      <c r="L358" s="3" t="s">
        <v>15</v>
      </c>
      <c r="M358" s="3" t="s">
        <v>1092</v>
      </c>
      <c r="N358" s="3" t="s">
        <v>1093</v>
      </c>
      <c r="O358" s="3" t="s">
        <v>39</v>
      </c>
      <c r="P358" s="3">
        <v>1951.69</v>
      </c>
      <c r="Q358" s="3">
        <v>2</v>
      </c>
      <c r="R358" s="3">
        <v>333.71</v>
      </c>
      <c r="S358" s="3">
        <v>0.21</v>
      </c>
    </row>
    <row r="359" spans="8:19">
      <c r="H359" s="3" t="s">
        <v>1094</v>
      </c>
      <c r="I359" s="25">
        <v>45828</v>
      </c>
      <c r="J359" s="3" t="s">
        <v>28</v>
      </c>
      <c r="K359" s="3" t="s">
        <v>21</v>
      </c>
      <c r="L359" s="3" t="s">
        <v>15</v>
      </c>
      <c r="M359" s="3" t="s">
        <v>1095</v>
      </c>
      <c r="N359" s="3" t="s">
        <v>1096</v>
      </c>
      <c r="O359" s="3" t="s">
        <v>35</v>
      </c>
      <c r="P359" s="3">
        <v>1265.28</v>
      </c>
      <c r="Q359" s="3">
        <v>9</v>
      </c>
      <c r="R359" s="3">
        <v>235.04</v>
      </c>
      <c r="S359" s="3">
        <v>0.26</v>
      </c>
    </row>
    <row r="360" spans="8:19">
      <c r="H360" s="3" t="s">
        <v>1097</v>
      </c>
      <c r="I360" s="25">
        <v>45950</v>
      </c>
      <c r="J360" s="3" t="s">
        <v>20</v>
      </c>
      <c r="K360" s="3" t="s">
        <v>32</v>
      </c>
      <c r="L360" s="3" t="s">
        <v>15</v>
      </c>
      <c r="M360" s="3" t="s">
        <v>1098</v>
      </c>
      <c r="N360" s="3" t="s">
        <v>1099</v>
      </c>
      <c r="O360" s="3" t="s">
        <v>39</v>
      </c>
      <c r="P360" s="3">
        <v>1572.78</v>
      </c>
      <c r="Q360" s="3">
        <v>1</v>
      </c>
      <c r="R360" s="3">
        <v>456.48</v>
      </c>
      <c r="S360" s="3">
        <v>0.28999999999999998</v>
      </c>
    </row>
    <row r="361" spans="8:19">
      <c r="H361" s="3" t="s">
        <v>1100</v>
      </c>
      <c r="I361" s="25">
        <v>45665</v>
      </c>
      <c r="J361" s="3" t="s">
        <v>28</v>
      </c>
      <c r="K361" s="3" t="s">
        <v>14</v>
      </c>
      <c r="L361" s="3" t="s">
        <v>15</v>
      </c>
      <c r="M361" s="3" t="s">
        <v>1101</v>
      </c>
      <c r="N361" s="3" t="s">
        <v>1102</v>
      </c>
      <c r="O361" s="3" t="s">
        <v>39</v>
      </c>
      <c r="P361" s="3">
        <v>526.61</v>
      </c>
      <c r="Q361" s="3">
        <v>8</v>
      </c>
      <c r="R361" s="3">
        <v>66.23</v>
      </c>
      <c r="S361" s="3">
        <v>0.02</v>
      </c>
    </row>
    <row r="362" spans="8:19">
      <c r="H362" s="3" t="s">
        <v>1103</v>
      </c>
      <c r="I362" s="25">
        <v>45984</v>
      </c>
      <c r="J362" s="3" t="s">
        <v>20</v>
      </c>
      <c r="K362" s="3" t="s">
        <v>14</v>
      </c>
      <c r="L362" s="3" t="s">
        <v>15</v>
      </c>
      <c r="M362" s="3" t="s">
        <v>1104</v>
      </c>
      <c r="N362" s="3" t="s">
        <v>1105</v>
      </c>
      <c r="O362" s="3" t="s">
        <v>39</v>
      </c>
      <c r="P362" s="3">
        <v>401.31</v>
      </c>
      <c r="Q362" s="3">
        <v>7</v>
      </c>
      <c r="R362" s="3">
        <v>111.76</v>
      </c>
      <c r="S362" s="3">
        <v>0.23</v>
      </c>
    </row>
    <row r="363" spans="8:19">
      <c r="H363" s="3" t="s">
        <v>1106</v>
      </c>
      <c r="I363" s="25">
        <v>45802</v>
      </c>
      <c r="J363" s="3" t="s">
        <v>28</v>
      </c>
      <c r="K363" s="3" t="s">
        <v>21</v>
      </c>
      <c r="L363" s="3" t="s">
        <v>15</v>
      </c>
      <c r="M363" s="3" t="s">
        <v>1107</v>
      </c>
      <c r="N363" s="3" t="s">
        <v>1108</v>
      </c>
      <c r="O363" s="3" t="s">
        <v>35</v>
      </c>
      <c r="P363" s="3">
        <v>499.97</v>
      </c>
      <c r="Q363" s="3">
        <v>5</v>
      </c>
      <c r="R363" s="3">
        <v>86.11</v>
      </c>
      <c r="S363" s="3">
        <v>0.27</v>
      </c>
    </row>
    <row r="364" spans="8:19">
      <c r="H364" s="3" t="s">
        <v>1109</v>
      </c>
      <c r="I364" s="25">
        <v>45852</v>
      </c>
      <c r="J364" s="3" t="s">
        <v>28</v>
      </c>
      <c r="K364" s="3" t="s">
        <v>32</v>
      </c>
      <c r="L364" s="3" t="s">
        <v>15</v>
      </c>
      <c r="M364" s="3" t="s">
        <v>1110</v>
      </c>
      <c r="N364" s="3" t="s">
        <v>1111</v>
      </c>
      <c r="O364" s="3" t="s">
        <v>35</v>
      </c>
      <c r="P364" s="3">
        <v>865.98</v>
      </c>
      <c r="Q364" s="3">
        <v>2</v>
      </c>
      <c r="R364" s="3">
        <v>87.84</v>
      </c>
      <c r="S364" s="3">
        <v>0.03</v>
      </c>
    </row>
    <row r="365" spans="8:19">
      <c r="H365" s="3" t="s">
        <v>1112</v>
      </c>
      <c r="I365" s="25">
        <v>45718</v>
      </c>
      <c r="J365" s="3" t="s">
        <v>20</v>
      </c>
      <c r="K365" s="3" t="s">
        <v>21</v>
      </c>
      <c r="L365" s="3" t="s">
        <v>15</v>
      </c>
      <c r="M365" s="3" t="s">
        <v>1113</v>
      </c>
      <c r="N365" s="3" t="s">
        <v>1114</v>
      </c>
      <c r="O365" s="3" t="s">
        <v>39</v>
      </c>
      <c r="P365" s="3">
        <v>614.65</v>
      </c>
      <c r="Q365" s="3">
        <v>6</v>
      </c>
      <c r="R365" s="3">
        <v>168.88</v>
      </c>
      <c r="S365" s="3">
        <v>0.21</v>
      </c>
    </row>
    <row r="366" spans="8:19">
      <c r="H366" s="3" t="s">
        <v>1115</v>
      </c>
      <c r="I366" s="25">
        <v>45860</v>
      </c>
      <c r="J366" s="3" t="s">
        <v>13</v>
      </c>
      <c r="K366" s="3" t="s">
        <v>32</v>
      </c>
      <c r="L366" s="3" t="s">
        <v>15</v>
      </c>
      <c r="M366" s="3" t="s">
        <v>1116</v>
      </c>
      <c r="N366" s="3" t="s">
        <v>1117</v>
      </c>
      <c r="O366" s="3" t="s">
        <v>35</v>
      </c>
      <c r="P366" s="3">
        <v>1443</v>
      </c>
      <c r="Q366" s="3">
        <v>9</v>
      </c>
      <c r="R366" s="3">
        <v>365.46</v>
      </c>
      <c r="S366" s="3">
        <v>0.08</v>
      </c>
    </row>
    <row r="367" spans="8:19">
      <c r="H367" s="3" t="s">
        <v>1118</v>
      </c>
      <c r="I367" s="25">
        <v>45767</v>
      </c>
      <c r="J367" s="3" t="s">
        <v>13</v>
      </c>
      <c r="K367" s="3" t="s">
        <v>32</v>
      </c>
      <c r="L367" s="3" t="s">
        <v>15</v>
      </c>
      <c r="M367" s="3" t="s">
        <v>1119</v>
      </c>
      <c r="N367" s="3" t="s">
        <v>1120</v>
      </c>
      <c r="O367" s="3" t="s">
        <v>39</v>
      </c>
      <c r="P367" s="3">
        <v>552.4</v>
      </c>
      <c r="Q367" s="3">
        <v>4</v>
      </c>
      <c r="R367" s="3">
        <v>29.11</v>
      </c>
      <c r="S367" s="3">
        <v>0.01</v>
      </c>
    </row>
    <row r="368" spans="8:19">
      <c r="H368" s="3" t="s">
        <v>1121</v>
      </c>
      <c r="I368" s="25">
        <v>45876</v>
      </c>
      <c r="J368" s="3" t="s">
        <v>28</v>
      </c>
      <c r="K368" s="3" t="s">
        <v>21</v>
      </c>
      <c r="L368" s="3" t="s">
        <v>15</v>
      </c>
      <c r="M368" s="3" t="s">
        <v>1122</v>
      </c>
      <c r="N368" s="3" t="s">
        <v>1123</v>
      </c>
      <c r="O368" s="3" t="s">
        <v>39</v>
      </c>
      <c r="P368" s="3">
        <v>1644.46</v>
      </c>
      <c r="Q368" s="3">
        <v>4</v>
      </c>
      <c r="R368" s="3">
        <v>294.88</v>
      </c>
      <c r="S368" s="3">
        <v>0.14000000000000001</v>
      </c>
    </row>
    <row r="369" spans="8:19">
      <c r="H369" s="3" t="s">
        <v>1124</v>
      </c>
      <c r="I369" s="25">
        <v>45675</v>
      </c>
      <c r="J369" s="3" t="s">
        <v>28</v>
      </c>
      <c r="K369" s="3" t="s">
        <v>21</v>
      </c>
      <c r="L369" s="3" t="s">
        <v>15</v>
      </c>
      <c r="M369" s="3" t="s">
        <v>1125</v>
      </c>
      <c r="N369" s="3" t="s">
        <v>1126</v>
      </c>
      <c r="O369" s="3" t="s">
        <v>35</v>
      </c>
      <c r="P369" s="3">
        <v>1761.83</v>
      </c>
      <c r="Q369" s="3">
        <v>6</v>
      </c>
      <c r="R369" s="3">
        <v>171.94</v>
      </c>
      <c r="S369" s="3">
        <v>0.01</v>
      </c>
    </row>
    <row r="370" spans="8:19">
      <c r="H370" s="3" t="s">
        <v>1127</v>
      </c>
      <c r="I370" s="25">
        <v>45788</v>
      </c>
      <c r="J370" s="3" t="s">
        <v>41</v>
      </c>
      <c r="K370" s="3" t="s">
        <v>32</v>
      </c>
      <c r="L370" s="3" t="s">
        <v>15</v>
      </c>
      <c r="M370" s="3" t="s">
        <v>1128</v>
      </c>
      <c r="N370" s="3" t="s">
        <v>1129</v>
      </c>
      <c r="O370" s="3" t="s">
        <v>18</v>
      </c>
      <c r="P370" s="3">
        <v>1954.83</v>
      </c>
      <c r="Q370" s="3">
        <v>9</v>
      </c>
      <c r="R370" s="3">
        <v>717.68</v>
      </c>
      <c r="S370" s="3">
        <v>0.18</v>
      </c>
    </row>
    <row r="371" spans="8:19">
      <c r="H371" s="3" t="s">
        <v>1130</v>
      </c>
      <c r="I371" s="25">
        <v>45667</v>
      </c>
      <c r="J371" s="3" t="s">
        <v>28</v>
      </c>
      <c r="K371" s="3" t="s">
        <v>32</v>
      </c>
      <c r="L371" s="3" t="s">
        <v>15</v>
      </c>
      <c r="M371" s="3" t="s">
        <v>1131</v>
      </c>
      <c r="N371" s="3" t="s">
        <v>1132</v>
      </c>
      <c r="O371" s="3" t="s">
        <v>39</v>
      </c>
      <c r="P371" s="3">
        <v>1736.25</v>
      </c>
      <c r="Q371" s="3">
        <v>7</v>
      </c>
      <c r="R371" s="3">
        <v>259.55</v>
      </c>
      <c r="S371" s="3">
        <v>0.01</v>
      </c>
    </row>
    <row r="372" spans="8:19">
      <c r="H372" s="3" t="s">
        <v>1133</v>
      </c>
      <c r="I372" s="25">
        <v>45943</v>
      </c>
      <c r="J372" s="3" t="s">
        <v>20</v>
      </c>
      <c r="K372" s="3" t="s">
        <v>21</v>
      </c>
      <c r="L372" s="3" t="s">
        <v>15</v>
      </c>
      <c r="M372" s="3" t="s">
        <v>1134</v>
      </c>
      <c r="N372" s="3" t="s">
        <v>1135</v>
      </c>
      <c r="O372" s="3" t="s">
        <v>35</v>
      </c>
      <c r="P372" s="3">
        <v>1733.33</v>
      </c>
      <c r="Q372" s="3">
        <v>5</v>
      </c>
      <c r="R372" s="3">
        <v>151.26</v>
      </c>
      <c r="S372" s="3">
        <v>0.02</v>
      </c>
    </row>
    <row r="373" spans="8:19">
      <c r="H373" s="3" t="s">
        <v>1136</v>
      </c>
      <c r="I373" s="25">
        <v>45918</v>
      </c>
      <c r="J373" s="3" t="s">
        <v>20</v>
      </c>
      <c r="K373" s="3" t="s">
        <v>14</v>
      </c>
      <c r="L373" s="3" t="s">
        <v>15</v>
      </c>
      <c r="M373" s="3" t="s">
        <v>1137</v>
      </c>
      <c r="N373" s="3" t="s">
        <v>1138</v>
      </c>
      <c r="O373" s="3" t="s">
        <v>35</v>
      </c>
      <c r="P373" s="3">
        <v>1722.72</v>
      </c>
      <c r="Q373" s="3">
        <v>5</v>
      </c>
      <c r="R373" s="3">
        <v>600.37</v>
      </c>
      <c r="S373" s="3">
        <v>0.18</v>
      </c>
    </row>
    <row r="374" spans="8:19">
      <c r="H374" s="3" t="s">
        <v>1139</v>
      </c>
      <c r="I374" s="25">
        <v>45951</v>
      </c>
      <c r="J374" s="3" t="s">
        <v>20</v>
      </c>
      <c r="K374" s="3" t="s">
        <v>21</v>
      </c>
      <c r="L374" s="3" t="s">
        <v>15</v>
      </c>
      <c r="M374" s="3" t="s">
        <v>1140</v>
      </c>
      <c r="N374" s="3" t="s">
        <v>1141</v>
      </c>
      <c r="O374" s="3" t="s">
        <v>39</v>
      </c>
      <c r="P374" s="3">
        <v>1852.07</v>
      </c>
      <c r="Q374" s="3">
        <v>4</v>
      </c>
      <c r="R374" s="3">
        <v>656</v>
      </c>
      <c r="S374" s="3">
        <v>0.21</v>
      </c>
    </row>
    <row r="375" spans="8:19">
      <c r="H375" s="3" t="s">
        <v>1142</v>
      </c>
      <c r="I375" s="25">
        <v>45729</v>
      </c>
      <c r="J375" s="3" t="s">
        <v>20</v>
      </c>
      <c r="K375" s="3" t="s">
        <v>14</v>
      </c>
      <c r="L375" s="3" t="s">
        <v>15</v>
      </c>
      <c r="M375" s="3" t="s">
        <v>1143</v>
      </c>
      <c r="N375" s="3" t="s">
        <v>1144</v>
      </c>
      <c r="O375" s="3" t="s">
        <v>35</v>
      </c>
      <c r="P375" s="3">
        <v>126.92</v>
      </c>
      <c r="Q375" s="3">
        <v>8</v>
      </c>
      <c r="R375" s="3">
        <v>28.47</v>
      </c>
      <c r="S375" s="3">
        <v>0.12</v>
      </c>
    </row>
    <row r="376" spans="8:19">
      <c r="H376" s="3" t="s">
        <v>1145</v>
      </c>
      <c r="I376" s="25">
        <v>46000</v>
      </c>
      <c r="J376" s="3" t="s">
        <v>20</v>
      </c>
      <c r="K376" s="3" t="s">
        <v>32</v>
      </c>
      <c r="L376" s="3" t="s">
        <v>15</v>
      </c>
      <c r="M376" s="3" t="s">
        <v>1146</v>
      </c>
      <c r="N376" s="3" t="s">
        <v>1147</v>
      </c>
      <c r="O376" s="3" t="s">
        <v>35</v>
      </c>
      <c r="P376" s="3">
        <v>1353.98</v>
      </c>
      <c r="Q376" s="3">
        <v>3</v>
      </c>
      <c r="R376" s="3">
        <v>492.62</v>
      </c>
      <c r="S376" s="3">
        <v>0.19</v>
      </c>
    </row>
    <row r="377" spans="8:19">
      <c r="H377" s="3" t="s">
        <v>1148</v>
      </c>
      <c r="I377" s="25">
        <v>45971</v>
      </c>
      <c r="J377" s="3" t="s">
        <v>13</v>
      </c>
      <c r="K377" s="3" t="s">
        <v>21</v>
      </c>
      <c r="L377" s="3" t="s">
        <v>15</v>
      </c>
      <c r="M377" s="3" t="s">
        <v>1149</v>
      </c>
      <c r="N377" s="3" t="s">
        <v>1150</v>
      </c>
      <c r="O377" s="3" t="s">
        <v>18</v>
      </c>
      <c r="P377" s="3">
        <v>658.73</v>
      </c>
      <c r="Q377" s="3">
        <v>6</v>
      </c>
      <c r="R377" s="3">
        <v>239.8</v>
      </c>
      <c r="S377" s="3">
        <v>0.08</v>
      </c>
    </row>
    <row r="378" spans="8:19">
      <c r="H378" s="3" t="s">
        <v>1151</v>
      </c>
      <c r="I378" s="25">
        <v>45771</v>
      </c>
      <c r="J378" s="3" t="s">
        <v>28</v>
      </c>
      <c r="K378" s="3" t="s">
        <v>14</v>
      </c>
      <c r="L378" s="3" t="s">
        <v>15</v>
      </c>
      <c r="M378" s="3" t="s">
        <v>1152</v>
      </c>
      <c r="N378" s="3" t="s">
        <v>1153</v>
      </c>
      <c r="O378" s="3" t="s">
        <v>18</v>
      </c>
      <c r="P378" s="3">
        <v>213.88</v>
      </c>
      <c r="Q378" s="3">
        <v>5</v>
      </c>
      <c r="R378" s="3">
        <v>23.76</v>
      </c>
      <c r="S378" s="3">
        <v>0.19</v>
      </c>
    </row>
    <row r="379" spans="8:19">
      <c r="H379" s="3" t="s">
        <v>1154</v>
      </c>
      <c r="I379" s="25">
        <v>45696</v>
      </c>
      <c r="J379" s="3" t="s">
        <v>20</v>
      </c>
      <c r="K379" s="3" t="s">
        <v>14</v>
      </c>
      <c r="L379" s="3" t="s">
        <v>15</v>
      </c>
      <c r="M379" s="3" t="s">
        <v>1155</v>
      </c>
      <c r="N379" s="3" t="s">
        <v>1156</v>
      </c>
      <c r="O379" s="3" t="s">
        <v>35</v>
      </c>
      <c r="P379" s="3">
        <v>838.89</v>
      </c>
      <c r="Q379" s="3">
        <v>4</v>
      </c>
      <c r="R379" s="3">
        <v>160.82</v>
      </c>
      <c r="S379" s="3">
        <v>0.16</v>
      </c>
    </row>
    <row r="380" spans="8:19">
      <c r="H380" s="3" t="s">
        <v>1157</v>
      </c>
      <c r="I380" s="25">
        <v>45926</v>
      </c>
      <c r="J380" s="3" t="s">
        <v>13</v>
      </c>
      <c r="K380" s="3" t="s">
        <v>21</v>
      </c>
      <c r="L380" s="3" t="s">
        <v>15</v>
      </c>
      <c r="M380" s="3" t="s">
        <v>1158</v>
      </c>
      <c r="N380" s="3" t="s">
        <v>1159</v>
      </c>
      <c r="O380" s="3" t="s">
        <v>35</v>
      </c>
      <c r="P380" s="3">
        <v>1879.41</v>
      </c>
      <c r="Q380" s="3">
        <v>9</v>
      </c>
      <c r="R380" s="3">
        <v>666.22</v>
      </c>
      <c r="S380" s="3">
        <v>0.28999999999999998</v>
      </c>
    </row>
    <row r="381" spans="8:19">
      <c r="H381" s="3" t="s">
        <v>1160</v>
      </c>
      <c r="I381" s="25">
        <v>45812</v>
      </c>
      <c r="J381" s="3" t="s">
        <v>41</v>
      </c>
      <c r="K381" s="3" t="s">
        <v>21</v>
      </c>
      <c r="L381" s="3" t="s">
        <v>15</v>
      </c>
      <c r="M381" s="3" t="s">
        <v>1161</v>
      </c>
      <c r="N381" s="3" t="s">
        <v>1162</v>
      </c>
      <c r="O381" s="3" t="s">
        <v>18</v>
      </c>
      <c r="P381" s="3">
        <v>1831.81</v>
      </c>
      <c r="Q381" s="3">
        <v>5</v>
      </c>
      <c r="R381" s="3">
        <v>615.88</v>
      </c>
      <c r="S381" s="3">
        <v>0.12</v>
      </c>
    </row>
    <row r="382" spans="8:19">
      <c r="H382" s="3" t="s">
        <v>1163</v>
      </c>
      <c r="I382" s="25">
        <v>46013</v>
      </c>
      <c r="J382" s="3" t="s">
        <v>13</v>
      </c>
      <c r="K382" s="3" t="s">
        <v>32</v>
      </c>
      <c r="L382" s="3" t="s">
        <v>15</v>
      </c>
      <c r="M382" s="3" t="s">
        <v>1164</v>
      </c>
      <c r="N382" s="3" t="s">
        <v>1165</v>
      </c>
      <c r="O382" s="3" t="s">
        <v>39</v>
      </c>
      <c r="P382" s="3">
        <v>756.81</v>
      </c>
      <c r="Q382" s="3">
        <v>4</v>
      </c>
      <c r="R382" s="3">
        <v>287.33999999999997</v>
      </c>
      <c r="S382" s="3">
        <v>0.03</v>
      </c>
    </row>
    <row r="383" spans="8:19">
      <c r="H383" s="3" t="s">
        <v>1166</v>
      </c>
      <c r="I383" s="25">
        <v>45781</v>
      </c>
      <c r="J383" s="3" t="s">
        <v>20</v>
      </c>
      <c r="K383" s="3" t="s">
        <v>32</v>
      </c>
      <c r="L383" s="3" t="s">
        <v>15</v>
      </c>
      <c r="M383" s="3" t="s">
        <v>1167</v>
      </c>
      <c r="N383" s="3" t="s">
        <v>1168</v>
      </c>
      <c r="O383" s="3" t="s">
        <v>35</v>
      </c>
      <c r="P383" s="3">
        <v>229.02</v>
      </c>
      <c r="Q383" s="3">
        <v>7</v>
      </c>
      <c r="R383" s="3">
        <v>62.65</v>
      </c>
      <c r="S383" s="3">
        <v>7.0000000000000007E-2</v>
      </c>
    </row>
    <row r="384" spans="8:19">
      <c r="H384" s="3" t="s">
        <v>1169</v>
      </c>
      <c r="I384" s="25">
        <v>45941</v>
      </c>
      <c r="J384" s="3" t="s">
        <v>41</v>
      </c>
      <c r="K384" s="3" t="s">
        <v>14</v>
      </c>
      <c r="L384" s="3" t="s">
        <v>15</v>
      </c>
      <c r="M384" s="3" t="s">
        <v>1170</v>
      </c>
      <c r="N384" s="3" t="s">
        <v>1171</v>
      </c>
      <c r="O384" s="3" t="s">
        <v>18</v>
      </c>
      <c r="P384" s="3">
        <v>1362.44</v>
      </c>
      <c r="Q384" s="3">
        <v>9</v>
      </c>
      <c r="R384" s="3">
        <v>420.73</v>
      </c>
      <c r="S384" s="3">
        <v>0.05</v>
      </c>
    </row>
    <row r="385" spans="8:19">
      <c r="H385" s="3" t="s">
        <v>1172</v>
      </c>
      <c r="I385" s="25">
        <v>45854</v>
      </c>
      <c r="J385" s="3" t="s">
        <v>20</v>
      </c>
      <c r="K385" s="3" t="s">
        <v>32</v>
      </c>
      <c r="L385" s="3" t="s">
        <v>15</v>
      </c>
      <c r="M385" s="3" t="s">
        <v>1173</v>
      </c>
      <c r="N385" s="3" t="s">
        <v>1174</v>
      </c>
      <c r="O385" s="3" t="s">
        <v>18</v>
      </c>
      <c r="P385" s="3">
        <v>894.09</v>
      </c>
      <c r="Q385" s="3">
        <v>6</v>
      </c>
      <c r="R385" s="3">
        <v>284.69</v>
      </c>
      <c r="S385" s="3">
        <v>0.15</v>
      </c>
    </row>
    <row r="386" spans="8:19">
      <c r="H386" s="3" t="s">
        <v>1175</v>
      </c>
      <c r="I386" s="25">
        <v>45768</v>
      </c>
      <c r="J386" s="3" t="s">
        <v>13</v>
      </c>
      <c r="K386" s="3" t="s">
        <v>21</v>
      </c>
      <c r="L386" s="3" t="s">
        <v>15</v>
      </c>
      <c r="M386" s="3" t="s">
        <v>1176</v>
      </c>
      <c r="N386" s="3" t="s">
        <v>1177</v>
      </c>
      <c r="O386" s="3" t="s">
        <v>18</v>
      </c>
      <c r="P386" s="3">
        <v>1303.0999999999999</v>
      </c>
      <c r="Q386" s="3">
        <v>4</v>
      </c>
      <c r="R386" s="3">
        <v>165.57</v>
      </c>
      <c r="S386" s="3">
        <v>0.26</v>
      </c>
    </row>
    <row r="387" spans="8:19">
      <c r="H387" s="3" t="s">
        <v>1178</v>
      </c>
      <c r="I387" s="25">
        <v>45985</v>
      </c>
      <c r="J387" s="3" t="s">
        <v>20</v>
      </c>
      <c r="K387" s="3" t="s">
        <v>21</v>
      </c>
      <c r="L387" s="3" t="s">
        <v>15</v>
      </c>
      <c r="M387" s="3" t="s">
        <v>1179</v>
      </c>
      <c r="N387" s="3" t="s">
        <v>1180</v>
      </c>
      <c r="O387" s="3" t="s">
        <v>35</v>
      </c>
      <c r="P387" s="3">
        <v>1838.1</v>
      </c>
      <c r="Q387" s="3">
        <v>2</v>
      </c>
      <c r="R387" s="3">
        <v>250.96</v>
      </c>
      <c r="S387" s="3">
        <v>0.22</v>
      </c>
    </row>
    <row r="388" spans="8:19">
      <c r="H388" s="3" t="s">
        <v>1181</v>
      </c>
      <c r="I388" s="25">
        <v>45663</v>
      </c>
      <c r="J388" s="3" t="s">
        <v>28</v>
      </c>
      <c r="K388" s="3" t="s">
        <v>14</v>
      </c>
      <c r="L388" s="3" t="s">
        <v>15</v>
      </c>
      <c r="M388" s="3" t="s">
        <v>1182</v>
      </c>
      <c r="N388" s="3" t="s">
        <v>1183</v>
      </c>
      <c r="O388" s="3" t="s">
        <v>18</v>
      </c>
      <c r="P388" s="3">
        <v>1129.83</v>
      </c>
      <c r="Q388" s="3">
        <v>4</v>
      </c>
      <c r="R388" s="3">
        <v>136.41</v>
      </c>
      <c r="S388" s="3">
        <v>0.05</v>
      </c>
    </row>
    <row r="389" spans="8:19">
      <c r="H389" s="3" t="s">
        <v>1184</v>
      </c>
      <c r="I389" s="25">
        <v>46007</v>
      </c>
      <c r="J389" s="3" t="s">
        <v>20</v>
      </c>
      <c r="K389" s="3" t="s">
        <v>32</v>
      </c>
      <c r="L389" s="3" t="s">
        <v>15</v>
      </c>
      <c r="M389" s="3" t="s">
        <v>1185</v>
      </c>
      <c r="N389" s="3" t="s">
        <v>1186</v>
      </c>
      <c r="O389" s="3" t="s">
        <v>18</v>
      </c>
      <c r="P389" s="3">
        <v>1547.46</v>
      </c>
      <c r="Q389" s="3">
        <v>1</v>
      </c>
      <c r="R389" s="3">
        <v>106.77</v>
      </c>
      <c r="S389" s="3">
        <v>0.13</v>
      </c>
    </row>
    <row r="390" spans="8:19">
      <c r="H390" s="3" t="s">
        <v>1187</v>
      </c>
      <c r="I390" s="25">
        <v>45697</v>
      </c>
      <c r="J390" s="3" t="s">
        <v>13</v>
      </c>
      <c r="K390" s="3" t="s">
        <v>14</v>
      </c>
      <c r="L390" s="3" t="s">
        <v>15</v>
      </c>
      <c r="M390" s="3" t="s">
        <v>1188</v>
      </c>
      <c r="N390" s="3" t="s">
        <v>1189</v>
      </c>
      <c r="O390" s="3" t="s">
        <v>18</v>
      </c>
      <c r="P390" s="3">
        <v>793.65</v>
      </c>
      <c r="Q390" s="3">
        <v>4</v>
      </c>
      <c r="R390" s="3">
        <v>312.67</v>
      </c>
      <c r="S390" s="3">
        <v>0.09</v>
      </c>
    </row>
    <row r="391" spans="8:19">
      <c r="H391" s="3" t="s">
        <v>1190</v>
      </c>
      <c r="I391" s="25">
        <v>46016</v>
      </c>
      <c r="J391" s="3" t="s">
        <v>28</v>
      </c>
      <c r="K391" s="3" t="s">
        <v>21</v>
      </c>
      <c r="L391" s="3" t="s">
        <v>15</v>
      </c>
      <c r="M391" s="3" t="s">
        <v>1191</v>
      </c>
      <c r="N391" s="3" t="s">
        <v>1192</v>
      </c>
      <c r="O391" s="3" t="s">
        <v>18</v>
      </c>
      <c r="P391" s="3">
        <v>582.22</v>
      </c>
      <c r="Q391" s="3">
        <v>10</v>
      </c>
      <c r="R391" s="3">
        <v>164.4</v>
      </c>
      <c r="S391" s="3">
        <v>0.09</v>
      </c>
    </row>
    <row r="392" spans="8:19">
      <c r="H392" s="3" t="s">
        <v>1193</v>
      </c>
      <c r="I392" s="25">
        <v>45931</v>
      </c>
      <c r="J392" s="3" t="s">
        <v>41</v>
      </c>
      <c r="K392" s="3" t="s">
        <v>32</v>
      </c>
      <c r="L392" s="3" t="s">
        <v>15</v>
      </c>
      <c r="M392" s="3" t="s">
        <v>1194</v>
      </c>
      <c r="N392" s="3" t="s">
        <v>1195</v>
      </c>
      <c r="O392" s="3" t="s">
        <v>35</v>
      </c>
      <c r="P392" s="3">
        <v>877.94</v>
      </c>
      <c r="Q392" s="3">
        <v>4</v>
      </c>
      <c r="R392" s="3">
        <v>53.13</v>
      </c>
      <c r="S392" s="3">
        <v>0.19</v>
      </c>
    </row>
    <row r="393" spans="8:19">
      <c r="H393" s="3" t="s">
        <v>1196</v>
      </c>
      <c r="I393" s="25">
        <v>45874</v>
      </c>
      <c r="J393" s="3" t="s">
        <v>41</v>
      </c>
      <c r="K393" s="3" t="s">
        <v>14</v>
      </c>
      <c r="L393" s="3" t="s">
        <v>15</v>
      </c>
      <c r="M393" s="3" t="s">
        <v>1197</v>
      </c>
      <c r="N393" s="3" t="s">
        <v>1198</v>
      </c>
      <c r="O393" s="3" t="s">
        <v>39</v>
      </c>
      <c r="P393" s="3">
        <v>240.46</v>
      </c>
      <c r="Q393" s="3">
        <v>2</v>
      </c>
      <c r="R393" s="3">
        <v>47.42</v>
      </c>
      <c r="S393" s="3">
        <v>0.12</v>
      </c>
    </row>
    <row r="394" spans="8:19">
      <c r="H394" s="3" t="s">
        <v>1199</v>
      </c>
      <c r="I394" s="25">
        <v>45794</v>
      </c>
      <c r="J394" s="3" t="s">
        <v>20</v>
      </c>
      <c r="K394" s="3" t="s">
        <v>21</v>
      </c>
      <c r="L394" s="3" t="s">
        <v>15</v>
      </c>
      <c r="M394" s="3" t="s">
        <v>1200</v>
      </c>
      <c r="N394" s="3" t="s">
        <v>1201</v>
      </c>
      <c r="O394" s="3" t="s">
        <v>35</v>
      </c>
      <c r="P394" s="3">
        <v>1773.6</v>
      </c>
      <c r="Q394" s="3">
        <v>2</v>
      </c>
      <c r="R394" s="3">
        <v>406.2</v>
      </c>
      <c r="S394" s="3">
        <v>0.04</v>
      </c>
    </row>
    <row r="395" spans="8:19">
      <c r="H395" s="3" t="s">
        <v>1202</v>
      </c>
      <c r="I395" s="25">
        <v>46015</v>
      </c>
      <c r="J395" s="3" t="s">
        <v>41</v>
      </c>
      <c r="K395" s="3" t="s">
        <v>14</v>
      </c>
      <c r="L395" s="3" t="s">
        <v>15</v>
      </c>
      <c r="M395" s="3" t="s">
        <v>1203</v>
      </c>
      <c r="N395" s="3" t="s">
        <v>1204</v>
      </c>
      <c r="O395" s="3" t="s">
        <v>35</v>
      </c>
      <c r="P395" s="3">
        <v>1114.8499999999999</v>
      </c>
      <c r="Q395" s="3">
        <v>4</v>
      </c>
      <c r="R395" s="3">
        <v>366.15</v>
      </c>
      <c r="S395" s="3">
        <v>0.21</v>
      </c>
    </row>
    <row r="396" spans="8:19">
      <c r="H396" s="3" t="s">
        <v>1205</v>
      </c>
      <c r="I396" s="25">
        <v>45704</v>
      </c>
      <c r="J396" s="3" t="s">
        <v>13</v>
      </c>
      <c r="K396" s="3" t="s">
        <v>14</v>
      </c>
      <c r="L396" s="3" t="s">
        <v>15</v>
      </c>
      <c r="M396" s="3" t="s">
        <v>1206</v>
      </c>
      <c r="N396" s="3" t="s">
        <v>1207</v>
      </c>
      <c r="O396" s="3" t="s">
        <v>18</v>
      </c>
      <c r="P396" s="3">
        <v>845.46</v>
      </c>
      <c r="Q396" s="3">
        <v>10</v>
      </c>
      <c r="R396" s="3">
        <v>172.33</v>
      </c>
      <c r="S396" s="3">
        <v>7.0000000000000007E-2</v>
      </c>
    </row>
    <row r="397" spans="8:19">
      <c r="H397" s="3" t="s">
        <v>1208</v>
      </c>
      <c r="I397" s="25">
        <v>45694</v>
      </c>
      <c r="J397" s="3" t="s">
        <v>41</v>
      </c>
      <c r="K397" s="3" t="s">
        <v>14</v>
      </c>
      <c r="L397" s="3" t="s">
        <v>15</v>
      </c>
      <c r="M397" s="3" t="s">
        <v>1209</v>
      </c>
      <c r="N397" s="3" t="s">
        <v>1210</v>
      </c>
      <c r="O397" s="3" t="s">
        <v>35</v>
      </c>
      <c r="P397" s="3">
        <v>1549.76</v>
      </c>
      <c r="Q397" s="3">
        <v>7</v>
      </c>
      <c r="R397" s="3">
        <v>191.38</v>
      </c>
      <c r="S397" s="3">
        <v>0.11</v>
      </c>
    </row>
    <row r="398" spans="8:19">
      <c r="H398" s="3" t="s">
        <v>1211</v>
      </c>
      <c r="I398" s="25">
        <v>46001</v>
      </c>
      <c r="J398" s="3" t="s">
        <v>41</v>
      </c>
      <c r="K398" s="3" t="s">
        <v>21</v>
      </c>
      <c r="L398" s="3" t="s">
        <v>15</v>
      </c>
      <c r="M398" s="3" t="s">
        <v>1212</v>
      </c>
      <c r="N398" s="3" t="s">
        <v>1213</v>
      </c>
      <c r="O398" s="3" t="s">
        <v>39</v>
      </c>
      <c r="P398" s="3">
        <v>1237.47</v>
      </c>
      <c r="Q398" s="3">
        <v>7</v>
      </c>
      <c r="R398" s="3">
        <v>67.819999999999993</v>
      </c>
      <c r="S398" s="3">
        <v>0.13</v>
      </c>
    </row>
    <row r="399" spans="8:19">
      <c r="H399" s="3" t="s">
        <v>1214</v>
      </c>
      <c r="I399" s="25">
        <v>45664</v>
      </c>
      <c r="J399" s="3" t="s">
        <v>41</v>
      </c>
      <c r="K399" s="3" t="s">
        <v>14</v>
      </c>
      <c r="L399" s="3" t="s">
        <v>15</v>
      </c>
      <c r="M399" s="3" t="s">
        <v>1215</v>
      </c>
      <c r="N399" s="3" t="s">
        <v>1216</v>
      </c>
      <c r="O399" s="3" t="s">
        <v>35</v>
      </c>
      <c r="P399" s="3">
        <v>642.26</v>
      </c>
      <c r="Q399" s="3">
        <v>4</v>
      </c>
      <c r="R399" s="3">
        <v>216.4</v>
      </c>
      <c r="S399" s="3">
        <v>0.24</v>
      </c>
    </row>
    <row r="400" spans="8:19">
      <c r="H400" s="3" t="s">
        <v>1217</v>
      </c>
      <c r="I400" s="25">
        <v>45876</v>
      </c>
      <c r="J400" s="3" t="s">
        <v>41</v>
      </c>
      <c r="K400" s="3" t="s">
        <v>14</v>
      </c>
      <c r="L400" s="3" t="s">
        <v>15</v>
      </c>
      <c r="M400" s="3" t="s">
        <v>1218</v>
      </c>
      <c r="N400" s="3" t="s">
        <v>1219</v>
      </c>
      <c r="O400" s="3" t="s">
        <v>35</v>
      </c>
      <c r="P400" s="3">
        <v>439.21</v>
      </c>
      <c r="Q400" s="3">
        <v>8</v>
      </c>
      <c r="R400" s="3">
        <v>58.18</v>
      </c>
      <c r="S400" s="3">
        <v>0.1</v>
      </c>
    </row>
    <row r="401" spans="8:19">
      <c r="H401" s="3" t="s">
        <v>1220</v>
      </c>
      <c r="I401" s="25">
        <v>45727</v>
      </c>
      <c r="J401" s="3" t="s">
        <v>28</v>
      </c>
      <c r="K401" s="3" t="s">
        <v>21</v>
      </c>
      <c r="L401" s="3" t="s">
        <v>15</v>
      </c>
      <c r="M401" s="3" t="s">
        <v>1221</v>
      </c>
      <c r="N401" s="3" t="s">
        <v>1222</v>
      </c>
      <c r="O401" s="3" t="s">
        <v>35</v>
      </c>
      <c r="P401" s="3">
        <v>1638.6</v>
      </c>
      <c r="Q401" s="3">
        <v>6</v>
      </c>
      <c r="R401" s="3">
        <v>600.12</v>
      </c>
      <c r="S401" s="3">
        <v>7.0000000000000007E-2</v>
      </c>
    </row>
  </sheetData>
  <mergeCells count="1">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E100"/>
  <sheetViews>
    <sheetView workbookViewId="0">
      <selection activeCell="I12" sqref="I12"/>
    </sheetView>
  </sheetViews>
  <sheetFormatPr defaultColWidth="14.44140625" defaultRowHeight="15" customHeight="1"/>
  <cols>
    <col min="1" max="1" width="35.109375" bestFit="1" customWidth="1"/>
    <col min="2" max="2" width="15.5546875" bestFit="1" customWidth="1"/>
    <col min="3" max="3" width="9" bestFit="1" customWidth="1"/>
    <col min="4" max="4" width="11.6640625" bestFit="1" customWidth="1"/>
    <col min="5" max="5" width="12.109375" bestFit="1" customWidth="1"/>
    <col min="6" max="11" width="8.6640625" customWidth="1"/>
  </cols>
  <sheetData>
    <row r="1" spans="1:5" ht="14.4">
      <c r="A1" s="13" t="s">
        <v>1223</v>
      </c>
      <c r="B1" s="26" t="s">
        <v>3</v>
      </c>
      <c r="C1" s="26" t="s">
        <v>2</v>
      </c>
      <c r="D1" t="s">
        <v>1270</v>
      </c>
      <c r="E1" t="s">
        <v>1269</v>
      </c>
    </row>
    <row r="2" spans="1:5" ht="14.4">
      <c r="A2" s="21" t="s">
        <v>1266</v>
      </c>
      <c r="B2" t="s">
        <v>32</v>
      </c>
      <c r="C2" t="s">
        <v>28</v>
      </c>
      <c r="D2" s="36">
        <v>46152.739999999991</v>
      </c>
      <c r="E2" s="36">
        <v>11866.020000000004</v>
      </c>
    </row>
    <row r="3" spans="1:5" ht="14.4">
      <c r="A3" s="21" t="s">
        <v>1267</v>
      </c>
      <c r="B3" t="s">
        <v>32</v>
      </c>
      <c r="C3" t="s">
        <v>41</v>
      </c>
      <c r="D3" s="36">
        <v>23614.859999999997</v>
      </c>
      <c r="E3" s="36">
        <v>5252.1600000000008</v>
      </c>
    </row>
    <row r="4" spans="1:5" ht="14.4">
      <c r="A4" s="21" t="s">
        <v>1274</v>
      </c>
      <c r="B4" t="s">
        <v>32</v>
      </c>
      <c r="C4" t="s">
        <v>20</v>
      </c>
      <c r="D4" s="36">
        <v>42193.719999999994</v>
      </c>
      <c r="E4" s="36">
        <v>9397.3000000000011</v>
      </c>
    </row>
    <row r="5" spans="1:5" ht="14.4">
      <c r="A5" s="21" t="s">
        <v>1275</v>
      </c>
      <c r="B5" t="s">
        <v>32</v>
      </c>
      <c r="C5" t="s">
        <v>13</v>
      </c>
      <c r="D5" s="36">
        <v>22211.11</v>
      </c>
      <c r="E5" s="36">
        <v>5228.8100000000004</v>
      </c>
    </row>
    <row r="6" spans="1:5" thickBot="1">
      <c r="A6" s="22"/>
      <c r="B6" t="s">
        <v>1271</v>
      </c>
      <c r="D6" s="36">
        <v>134172.43</v>
      </c>
      <c r="E6" s="36">
        <v>31744.290000000005</v>
      </c>
    </row>
    <row r="7" spans="1:5" ht="14.4">
      <c r="B7" t="s">
        <v>21</v>
      </c>
      <c r="C7" t="s">
        <v>28</v>
      </c>
      <c r="D7" s="36">
        <v>39127</v>
      </c>
      <c r="E7" s="36">
        <v>9409.6000000000022</v>
      </c>
    </row>
    <row r="8" spans="1:5" ht="14.4">
      <c r="B8" t="s">
        <v>21</v>
      </c>
      <c r="C8" t="s">
        <v>41</v>
      </c>
      <c r="D8" s="36">
        <v>23251.820000000003</v>
      </c>
      <c r="E8" s="36">
        <v>5561.7</v>
      </c>
    </row>
    <row r="9" spans="1:5" ht="14.4">
      <c r="B9" t="s">
        <v>21</v>
      </c>
      <c r="C9" t="s">
        <v>20</v>
      </c>
      <c r="D9" s="36">
        <v>42595.05</v>
      </c>
      <c r="E9" s="36">
        <v>9714.61</v>
      </c>
    </row>
    <row r="10" spans="1:5" ht="14.4">
      <c r="B10" t="s">
        <v>21</v>
      </c>
      <c r="C10" t="s">
        <v>13</v>
      </c>
      <c r="D10" s="36">
        <v>50906.970000000008</v>
      </c>
      <c r="E10" s="36">
        <v>10780.199999999999</v>
      </c>
    </row>
    <row r="11" spans="1:5" ht="14.4">
      <c r="B11" t="s">
        <v>1272</v>
      </c>
      <c r="D11" s="36">
        <v>155880.84000000003</v>
      </c>
      <c r="E11" s="36">
        <v>35466.11</v>
      </c>
    </row>
    <row r="12" spans="1:5" ht="14.4">
      <c r="B12" t="s">
        <v>14</v>
      </c>
      <c r="C12" t="s">
        <v>28</v>
      </c>
      <c r="D12" s="36">
        <v>42482.640000000007</v>
      </c>
      <c r="E12" s="36">
        <v>9104.7199999999993</v>
      </c>
    </row>
    <row r="13" spans="1:5" ht="14.4">
      <c r="B13" t="s">
        <v>14</v>
      </c>
      <c r="C13" t="s">
        <v>41</v>
      </c>
      <c r="D13" s="36">
        <v>28487.279999999988</v>
      </c>
      <c r="E13" s="36">
        <v>7138.4899999999989</v>
      </c>
    </row>
    <row r="14" spans="1:5" ht="14.4">
      <c r="B14" t="s">
        <v>14</v>
      </c>
      <c r="C14" t="s">
        <v>20</v>
      </c>
      <c r="D14" s="36">
        <v>30677.43</v>
      </c>
      <c r="E14" s="36">
        <v>6418.0000000000009</v>
      </c>
    </row>
    <row r="15" spans="1:5" ht="14.4">
      <c r="B15" t="s">
        <v>14</v>
      </c>
      <c r="C15" t="s">
        <v>13</v>
      </c>
      <c r="D15" s="36">
        <v>31511.179999999993</v>
      </c>
      <c r="E15" s="36">
        <v>7026.0500000000011</v>
      </c>
    </row>
    <row r="16" spans="1:5" ht="14.4">
      <c r="B16" t="s">
        <v>1273</v>
      </c>
      <c r="D16" s="36">
        <v>133158.53</v>
      </c>
      <c r="E16" s="36">
        <v>29687.260000000002</v>
      </c>
    </row>
    <row r="17" spans="2:5" ht="14.4">
      <c r="B17" t="s">
        <v>1268</v>
      </c>
      <c r="D17" s="36">
        <v>423211.8</v>
      </c>
      <c r="E17" s="36">
        <v>96897.660000000018</v>
      </c>
    </row>
    <row r="18" spans="2:5" ht="14.4"/>
    <row r="19" spans="2:5" ht="14.4"/>
    <row r="20" spans="2:5" ht="14.4"/>
    <row r="21" spans="2:5" ht="15.75" customHeight="1"/>
    <row r="22" spans="2:5" ht="15.75" customHeight="1"/>
    <row r="23" spans="2:5" ht="15.75" customHeight="1"/>
    <row r="24" spans="2:5" ht="15.75" customHeight="1"/>
    <row r="25" spans="2:5" ht="15.75" customHeight="1"/>
    <row r="26" spans="2:5" ht="15.75" customHeight="1"/>
    <row r="27" spans="2:5" ht="15.75" customHeight="1"/>
    <row r="28" spans="2:5" ht="15.75" customHeight="1"/>
    <row r="29" spans="2:5" ht="15.75" customHeight="1"/>
    <row r="30" spans="2:5" ht="15.75" customHeight="1"/>
    <row r="31" spans="2:5" ht="15.75" customHeight="1"/>
    <row r="32" spans="2: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ageMargins left="0.75" right="0.75" top="1" bottom="1" header="0" footer="0"/>
  <pageSetup orientation="landscape"/>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26E85-29D9-4D1D-93C3-7B39DD5273A7}">
  <dimension ref="A3:B6"/>
  <sheetViews>
    <sheetView workbookViewId="0">
      <selection activeCell="A3" sqref="A3:B6"/>
    </sheetView>
  </sheetViews>
  <sheetFormatPr defaultRowHeight="14.4"/>
  <cols>
    <col min="1" max="1" width="13.109375" bestFit="1" customWidth="1"/>
    <col min="2" max="2" width="15.5546875" bestFit="1" customWidth="1"/>
    <col min="3" max="12" width="10.6640625" bestFit="1" customWidth="1"/>
    <col min="13" max="13" width="9.6640625" bestFit="1" customWidth="1"/>
    <col min="14" max="23" width="10.6640625" bestFit="1" customWidth="1"/>
    <col min="24" max="24" width="9.6640625" bestFit="1" customWidth="1"/>
    <col min="25" max="34" width="10.6640625" bestFit="1" customWidth="1"/>
    <col min="35" max="35" width="9.6640625" bestFit="1" customWidth="1"/>
    <col min="36" max="45" width="10.6640625" bestFit="1" customWidth="1"/>
    <col min="46" max="46" width="9.6640625" bestFit="1" customWidth="1"/>
    <col min="47" max="56" width="10.6640625" bestFit="1" customWidth="1"/>
    <col min="57" max="57" width="9.6640625" bestFit="1" customWidth="1"/>
    <col min="58" max="67" width="10.6640625" bestFit="1" customWidth="1"/>
    <col min="68" max="68" width="9.6640625" bestFit="1" customWidth="1"/>
    <col min="69" max="78" width="10.6640625" bestFit="1" customWidth="1"/>
    <col min="79" max="79" width="9.6640625" bestFit="1" customWidth="1"/>
    <col min="80" max="89" width="10.6640625" bestFit="1" customWidth="1"/>
    <col min="90" max="90" width="9.6640625" bestFit="1" customWidth="1"/>
    <col min="91" max="100" width="10.6640625" bestFit="1" customWidth="1"/>
    <col min="101" max="101" width="9.6640625" bestFit="1" customWidth="1"/>
    <col min="102" max="111" width="10.6640625" bestFit="1" customWidth="1"/>
    <col min="112" max="112" width="8.6640625" bestFit="1" customWidth="1"/>
    <col min="113" max="113" width="9.6640625" bestFit="1" customWidth="1"/>
    <col min="114" max="123" width="10.6640625" bestFit="1" customWidth="1"/>
    <col min="124" max="124" width="9.6640625" bestFit="1" customWidth="1"/>
    <col min="125" max="134" width="10.6640625" bestFit="1" customWidth="1"/>
    <col min="135" max="135" width="9.6640625" bestFit="1" customWidth="1"/>
    <col min="136" max="145" width="10.6640625" bestFit="1" customWidth="1"/>
    <col min="146" max="146" width="9.6640625" bestFit="1" customWidth="1"/>
    <col min="147" max="156" width="10.6640625" bestFit="1" customWidth="1"/>
    <col min="157" max="157" width="9.6640625" bestFit="1" customWidth="1"/>
    <col min="158" max="167" width="10.6640625" bestFit="1" customWidth="1"/>
    <col min="168" max="168" width="9.6640625" bestFit="1" customWidth="1"/>
    <col min="169" max="178" width="10.6640625" bestFit="1" customWidth="1"/>
    <col min="179" max="179" width="9.6640625" bestFit="1" customWidth="1"/>
    <col min="180" max="189" width="10.6640625" bestFit="1" customWidth="1"/>
    <col min="190" max="190" width="9.6640625" bestFit="1" customWidth="1"/>
    <col min="191" max="200" width="10.6640625" bestFit="1" customWidth="1"/>
    <col min="201" max="201" width="9.6640625" bestFit="1" customWidth="1"/>
    <col min="202" max="211" width="10.6640625" bestFit="1" customWidth="1"/>
    <col min="212" max="212" width="9.6640625" bestFit="1" customWidth="1"/>
    <col min="213" max="222" width="10.6640625" bestFit="1" customWidth="1"/>
    <col min="223" max="223" width="8.6640625" bestFit="1" customWidth="1"/>
    <col min="224" max="224" width="9.6640625" bestFit="1" customWidth="1"/>
    <col min="225" max="234" width="10.6640625" bestFit="1" customWidth="1"/>
    <col min="235" max="235" width="9.6640625" bestFit="1" customWidth="1"/>
    <col min="236" max="245" width="10.6640625" bestFit="1" customWidth="1"/>
    <col min="246" max="246" width="9.6640625" bestFit="1" customWidth="1"/>
    <col min="247" max="256" width="10.6640625" bestFit="1" customWidth="1"/>
    <col min="257" max="257" width="9.6640625" bestFit="1" customWidth="1"/>
    <col min="258" max="267" width="10.6640625" bestFit="1" customWidth="1"/>
    <col min="268" max="268" width="9.6640625" bestFit="1" customWidth="1"/>
    <col min="269" max="278" width="10.6640625" bestFit="1" customWidth="1"/>
    <col min="279" max="279" width="9.6640625" bestFit="1" customWidth="1"/>
    <col min="280" max="289" width="10.6640625" bestFit="1" customWidth="1"/>
    <col min="290" max="290" width="9.6640625" bestFit="1" customWidth="1"/>
    <col min="291" max="300" width="10.6640625" bestFit="1" customWidth="1"/>
    <col min="301" max="301" width="9.6640625" bestFit="1" customWidth="1"/>
    <col min="302" max="311" width="10.6640625" bestFit="1" customWidth="1"/>
    <col min="312" max="312" width="9.6640625" bestFit="1" customWidth="1"/>
    <col min="313" max="322" width="10.6640625" bestFit="1" customWidth="1"/>
    <col min="323" max="323" width="9.6640625" bestFit="1" customWidth="1"/>
    <col min="324" max="333" width="10.6640625" bestFit="1" customWidth="1"/>
    <col min="334" max="334" width="8.6640625" bestFit="1" customWidth="1"/>
    <col min="335" max="335" width="9.6640625" bestFit="1" customWidth="1"/>
    <col min="336" max="337" width="10.6640625" bestFit="1" customWidth="1"/>
    <col min="338" max="346" width="9.6640625" bestFit="1" customWidth="1"/>
    <col min="347" max="347" width="8.6640625" bestFit="1" customWidth="1"/>
    <col min="348" max="357" width="9.6640625" bestFit="1" customWidth="1"/>
    <col min="358" max="358" width="8.6640625" bestFit="1" customWidth="1"/>
    <col min="359" max="368" width="9.6640625" bestFit="1" customWidth="1"/>
    <col min="369" max="369" width="8.6640625" bestFit="1" customWidth="1"/>
    <col min="370" max="379" width="9.6640625" bestFit="1" customWidth="1"/>
    <col min="380" max="380" width="8.6640625" bestFit="1" customWidth="1"/>
    <col min="381" max="390" width="9.6640625" bestFit="1" customWidth="1"/>
    <col min="391" max="391" width="8.6640625" bestFit="1" customWidth="1"/>
    <col min="392" max="401" width="9.6640625" bestFit="1" customWidth="1"/>
    <col min="402" max="402" width="10.77734375" bestFit="1" customWidth="1"/>
  </cols>
  <sheetData>
    <row r="3" spans="1:2">
      <c r="A3" s="26" t="s">
        <v>1290</v>
      </c>
      <c r="B3" t="s">
        <v>1291</v>
      </c>
    </row>
    <row r="4" spans="1:2">
      <c r="A4" s="38" t="s">
        <v>32</v>
      </c>
      <c r="B4" s="36">
        <v>129</v>
      </c>
    </row>
    <row r="5" spans="1:2">
      <c r="A5" s="38" t="s">
        <v>21</v>
      </c>
      <c r="B5" s="36">
        <v>136</v>
      </c>
    </row>
    <row r="6" spans="1:2">
      <c r="A6" s="38" t="s">
        <v>14</v>
      </c>
      <c r="B6" s="36">
        <v>135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3835-F72E-4374-AD58-755B9E09874F}">
  <dimension ref="A3:B15"/>
  <sheetViews>
    <sheetView workbookViewId="0">
      <selection activeCell="B8" sqref="B8"/>
    </sheetView>
  </sheetViews>
  <sheetFormatPr defaultRowHeight="14.4"/>
  <cols>
    <col min="1" max="1" width="12.5546875" bestFit="1" customWidth="1"/>
    <col min="2" max="2" width="11.6640625" bestFit="1" customWidth="1"/>
  </cols>
  <sheetData>
    <row r="3" spans="1:2">
      <c r="A3" s="26" t="s">
        <v>1290</v>
      </c>
      <c r="B3" t="s">
        <v>1270</v>
      </c>
    </row>
    <row r="4" spans="1:2">
      <c r="A4" s="38" t="s">
        <v>1292</v>
      </c>
      <c r="B4" s="36">
        <v>34152.6</v>
      </c>
    </row>
    <row r="5" spans="1:2">
      <c r="A5" s="38" t="s">
        <v>1293</v>
      </c>
      <c r="B5" s="36">
        <v>30597.510000000006</v>
      </c>
    </row>
    <row r="6" spans="1:2">
      <c r="A6" s="38" t="s">
        <v>1294</v>
      </c>
      <c r="B6" s="36">
        <v>48695.149999999994</v>
      </c>
    </row>
    <row r="7" spans="1:2">
      <c r="A7" s="38" t="s">
        <v>1295</v>
      </c>
      <c r="B7" s="36">
        <v>29491.200000000001</v>
      </c>
    </row>
    <row r="8" spans="1:2">
      <c r="A8" s="38" t="s">
        <v>1296</v>
      </c>
      <c r="B8" s="36">
        <v>35527.06</v>
      </c>
    </row>
    <row r="9" spans="1:2">
      <c r="A9" s="38" t="s">
        <v>1297</v>
      </c>
      <c r="B9" s="36">
        <v>33791.800000000003</v>
      </c>
    </row>
    <row r="10" spans="1:2">
      <c r="A10" s="38" t="s">
        <v>1298</v>
      </c>
      <c r="B10" s="36">
        <v>31030.490000000005</v>
      </c>
    </row>
    <row r="11" spans="1:2">
      <c r="A11" s="38" t="s">
        <v>1299</v>
      </c>
      <c r="B11" s="36">
        <v>34995.099999999991</v>
      </c>
    </row>
    <row r="12" spans="1:2">
      <c r="A12" s="38" t="s">
        <v>1300</v>
      </c>
      <c r="B12" s="36">
        <v>25192.01</v>
      </c>
    </row>
    <row r="13" spans="1:2">
      <c r="A13" s="38" t="s">
        <v>1301</v>
      </c>
      <c r="B13" s="36">
        <v>42099.700000000004</v>
      </c>
    </row>
    <row r="14" spans="1:2">
      <c r="A14" s="38" t="s">
        <v>1302</v>
      </c>
      <c r="B14" s="36">
        <v>33042.58</v>
      </c>
    </row>
    <row r="15" spans="1:2">
      <c r="A15" s="38" t="s">
        <v>1303</v>
      </c>
      <c r="B15" s="36">
        <v>42036.2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08E97-F2CD-4F7A-8C03-2816DDF2D8EA}">
  <dimension ref="A3:B6"/>
  <sheetViews>
    <sheetView workbookViewId="0">
      <selection activeCell="B5" sqref="B5"/>
    </sheetView>
  </sheetViews>
  <sheetFormatPr defaultRowHeight="14.4"/>
  <cols>
    <col min="1" max="1" width="12.5546875" bestFit="1" customWidth="1"/>
    <col min="2" max="2" width="14.88671875" bestFit="1" customWidth="1"/>
  </cols>
  <sheetData>
    <row r="3" spans="1:2">
      <c r="A3" s="26" t="s">
        <v>1290</v>
      </c>
      <c r="B3" t="s">
        <v>1304</v>
      </c>
    </row>
    <row r="4" spans="1:2">
      <c r="A4" s="38" t="s">
        <v>18</v>
      </c>
      <c r="B4" s="36">
        <v>19.2</v>
      </c>
    </row>
    <row r="5" spans="1:2">
      <c r="A5" s="38" t="s">
        <v>39</v>
      </c>
      <c r="B5" s="36">
        <v>16.920000000000002</v>
      </c>
    </row>
    <row r="6" spans="1:2">
      <c r="A6" s="38" t="s">
        <v>35</v>
      </c>
      <c r="B6" s="36">
        <v>23.280000000000005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CA6B-74DA-4814-BECB-FC2AD04D1D55}">
  <dimension ref="A1:AP61"/>
  <sheetViews>
    <sheetView showGridLines="0" tabSelected="1" workbookViewId="0">
      <selection activeCell="F1" sqref="F1:P2"/>
    </sheetView>
  </sheetViews>
  <sheetFormatPr defaultRowHeight="14.4"/>
  <sheetData>
    <row r="1" spans="1:42">
      <c r="A1" s="34"/>
      <c r="B1" s="34"/>
      <c r="C1" s="34"/>
      <c r="D1" s="34"/>
      <c r="E1" s="34"/>
      <c r="F1" s="39" t="s">
        <v>1305</v>
      </c>
      <c r="G1" s="40"/>
      <c r="H1" s="40"/>
      <c r="I1" s="40"/>
      <c r="J1" s="40"/>
      <c r="K1" s="40"/>
      <c r="L1" s="40"/>
      <c r="M1" s="40"/>
      <c r="N1" s="40"/>
      <c r="O1" s="40"/>
      <c r="P1" s="41"/>
      <c r="Q1" s="34"/>
      <c r="R1" s="34"/>
      <c r="S1" s="34"/>
      <c r="T1" s="34"/>
      <c r="U1" s="34"/>
      <c r="V1" s="34"/>
      <c r="W1" s="34"/>
      <c r="X1" s="34"/>
      <c r="Y1" s="34"/>
      <c r="Z1" s="34"/>
      <c r="AA1" s="34"/>
      <c r="AB1" s="34"/>
      <c r="AC1" s="34"/>
      <c r="AD1" s="34"/>
      <c r="AE1" s="34"/>
      <c r="AF1" s="34"/>
      <c r="AG1" s="34"/>
      <c r="AH1" s="34"/>
      <c r="AI1" s="34"/>
      <c r="AJ1" s="34"/>
      <c r="AK1" s="34"/>
      <c r="AL1" s="34"/>
      <c r="AM1" s="34"/>
      <c r="AN1" s="34"/>
      <c r="AO1" s="34"/>
      <c r="AP1" s="34"/>
    </row>
    <row r="2" spans="1:42" ht="15" thickBot="1">
      <c r="A2" s="34"/>
      <c r="B2" s="34"/>
      <c r="C2" s="34"/>
      <c r="D2" s="34"/>
      <c r="E2" s="34"/>
      <c r="F2" s="42"/>
      <c r="G2" s="43"/>
      <c r="H2" s="43"/>
      <c r="I2" s="43"/>
      <c r="J2" s="43"/>
      <c r="K2" s="43"/>
      <c r="L2" s="43"/>
      <c r="M2" s="43"/>
      <c r="N2" s="43"/>
      <c r="O2" s="43"/>
      <c r="P2" s="44"/>
      <c r="Q2" s="34"/>
      <c r="R2" s="34"/>
      <c r="S2" s="34"/>
      <c r="T2" s="34"/>
      <c r="U2" s="34"/>
      <c r="V2" s="34"/>
      <c r="W2" s="34"/>
      <c r="X2" s="34"/>
      <c r="Y2" s="34"/>
      <c r="Z2" s="34"/>
      <c r="AA2" s="34"/>
      <c r="AB2" s="34"/>
      <c r="AC2" s="34"/>
      <c r="AD2" s="34"/>
      <c r="AE2" s="34"/>
      <c r="AF2" s="34"/>
      <c r="AG2" s="34"/>
      <c r="AH2" s="34"/>
      <c r="AI2" s="34"/>
      <c r="AJ2" s="34"/>
      <c r="AK2" s="34"/>
      <c r="AL2" s="34"/>
      <c r="AM2" s="34"/>
      <c r="AN2" s="34"/>
      <c r="AO2" s="34"/>
      <c r="AP2" s="34"/>
    </row>
    <row r="3" spans="1:42">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row>
    <row r="4" spans="1:42">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row>
    <row r="5" spans="1:42">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row>
    <row r="6" spans="1:42">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row>
    <row r="7" spans="1:42">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row>
    <row r="8" spans="1:42">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row>
    <row r="9" spans="1:42">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row>
    <row r="10" spans="1:42">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row>
    <row r="11" spans="1:42">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row>
    <row r="12" spans="1:4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row>
    <row r="13" spans="1:42">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row>
    <row r="14" spans="1:42">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row>
    <row r="15" spans="1:42">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row>
    <row r="16" spans="1:42">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row>
    <row r="17" spans="1:42">
      <c r="A17" s="34"/>
      <c r="B17" s="34"/>
      <c r="C17" s="34"/>
      <c r="D17" s="34"/>
      <c r="E17" s="34"/>
      <c r="F17" s="34"/>
      <c r="G17" s="34"/>
      <c r="H17" s="34"/>
      <c r="I17" s="34"/>
      <c r="J17" s="34"/>
      <c r="K17" s="34"/>
      <c r="L17" s="35"/>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row>
    <row r="18" spans="1:42">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row>
    <row r="19" spans="1:42">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row>
    <row r="20" spans="1:42">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row>
    <row r="21" spans="1:42">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row>
    <row r="22" spans="1:4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row>
    <row r="23" spans="1:42">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row>
    <row r="24" spans="1:42">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row>
    <row r="25" spans="1:42">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row>
    <row r="26" spans="1:42">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row>
    <row r="27" spans="1:42">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row>
    <row r="28" spans="1:42">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row>
    <row r="29" spans="1:42">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row>
    <row r="30" spans="1:42">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row>
    <row r="31" spans="1:42">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row>
    <row r="32" spans="1:4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row>
    <row r="33" spans="1:42">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row>
    <row r="34" spans="1:42">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row>
    <row r="35" spans="1:42">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row>
    <row r="36" spans="1:42">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row>
    <row r="37" spans="1:42">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row>
    <row r="38" spans="1:42">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row>
    <row r="39" spans="1:42">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row>
    <row r="40" spans="1:42">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row>
    <row r="41" spans="1:42">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row>
    <row r="42" spans="1: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row>
    <row r="43" spans="1:42">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row>
    <row r="44" spans="1:42">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row>
    <row r="45" spans="1:42">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row>
    <row r="46" spans="1:42">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row>
    <row r="47" spans="1:42">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row>
    <row r="48" spans="1:42">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row>
    <row r="49" spans="1:42">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row>
    <row r="50" spans="1:42">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row>
    <row r="51" spans="1:42">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row>
    <row r="52" spans="1:4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row>
    <row r="53" spans="1:42">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row>
    <row r="54" spans="1:42">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row>
    <row r="55" spans="1:42">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row>
    <row r="56" spans="1:42">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row>
    <row r="57" spans="1:42">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row>
    <row r="58" spans="1:42">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row>
    <row r="59" spans="1:42">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row>
    <row r="60" spans="1:42">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row>
    <row r="61" spans="1:42">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row>
  </sheetData>
  <mergeCells count="1">
    <mergeCell ref="F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01_Main_Dataset</vt:lpstr>
      <vt:lpstr>02_Data_Cleaning</vt:lpstr>
      <vt:lpstr>03_Cell_Referencing</vt:lpstr>
      <vt:lpstr>04_Sorting_Filtering</vt:lpstr>
      <vt:lpstr>05_Conditional_Formatting</vt:lpstr>
      <vt:lpstr>06_Logical_Functions</vt:lpstr>
      <vt:lpstr>07_Advanced_Formulas</vt:lpstr>
      <vt:lpstr>08_VLOOKUP</vt:lpstr>
      <vt:lpstr>09_HLOOKUP</vt:lpstr>
      <vt:lpstr>Match &amp; Index</vt:lpstr>
      <vt:lpstr>10_Pivot_Tables</vt:lpstr>
      <vt:lpstr>Sheet3</vt:lpstr>
      <vt:lpstr>Sheet5</vt:lpstr>
      <vt:lpstr>Sheet6</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DEBKANTA NANDI</cp:lastModifiedBy>
  <dcterms:created xsi:type="dcterms:W3CDTF">2026-03-22T11:27:42Z</dcterms:created>
  <dcterms:modified xsi:type="dcterms:W3CDTF">2026-03-24T06:44:30Z</dcterms:modified>
</cp:coreProperties>
</file>